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b4b1cbeb0f8e4aa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View" sheetId="1" r:id="Rdeff56c408de40bc"/>
    <x:sheet xmlns:r="http://schemas.openxmlformats.org/officeDocument/2006/relationships" name="Schedule" sheetId="2" r:id="R8da42071bfdd4ff2"/>
    <x:sheet xmlns:r="http://schemas.openxmlformats.org/officeDocument/2006/relationships" name="Scope and Gates" sheetId="3" r:id="rIdCorrected3"/>
    <x:sheet xmlns:r="http://schemas.openxmlformats.org/officeDocument/2006/relationships" name="Follow-up Backlog" sheetId="4" r:id="rIdCorrected4"/>
    <x:sheet xmlns:r="http://schemas.openxmlformats.org/officeDocument/2006/relationships" name="Revision Notes" sheetId="5" r:id="rIdCorrected5"/>
  </x:sheets>
  <x:calcPr calcId="191029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7365D"/>
      <x:name val="Arial"/>
    </x:font>
    <x:font>
      <x:b/>
      <x:sz val="11"/>
      <x:color rgb="FF1F2937"/>
      <x:name val="Arial"/>
    </x:font>
    <x:font>
      <x:b/>
      <x:sz val="10"/>
      <x:color rgb="FF2F75B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2F75B5"/>
      </x:bottom>
      <x:diagonal/>
    </x:border>
    <x:border>
      <x:left/>
      <x:right style="thin">
        <x:color rgb="FFFFFFFF"/>
      </x:right>
      <x:top/>
      <x:bottom style="medium">
        <x:color rgb="FF2F75B5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2F75B5"/>
      </x:bottom>
      <x:diagonal/>
    </x:border>
    <x:border>
      <x:left style="thin">
        <x:color rgb="FFFFFFFF"/>
      </x:left>
      <x:right/>
      <x:top/>
      <x:bottom style="medium">
        <x:color rgb="FF2F75B5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horizontal="center"/>
    </x:xf>
    <x:xf numFmtId="200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center"/>
    </x:xf>
    <x:xf numFmtId="200" fontId="6" fillId="0" borderId="5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F75B5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F75B5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2F75B5"/>
      </x:font>
      <x:fill>
        <x:patternFill patternType="solid">
          <x:bgColor rgb="FFD9EAF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<?xml version="1.0" encoding="UTF-8" standalone="yes"?><Relationships xmlns="http://schemas.openxmlformats.org/package/2006/relationships"><Relationship Id="Rf69363851a9d4bc8" Type="http://schemas.openxmlformats.org/officeDocument/2006/relationships/sharedStrings" Target="/xl/sharedStrings.xml"/><Relationship Id="Rc062736407cc4a20" Type="http://schemas.openxmlformats.org/officeDocument/2006/relationships/theme" Target="/xl/theme/theme1.xml"/><Relationship Id="R8da42071bfdd4ff2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deff56c408de40bc" Type="http://schemas.openxmlformats.org/officeDocument/2006/relationships/worksheet" Target="/xl/worksheets/sheet1.xml"/><Relationship Id="rId1" Type="http://schemas.openxmlformats.org/officeDocument/2006/relationships/customXml" Target="../customXml/item1.xml"/><Relationship Id="R957bf55145fb4bd7" Type="http://schemas.openxmlformats.org/officeDocument/2006/relationships/styles" Target="/xl/styles.xml"/><Relationship Id="rIdCorrected3" Type="http://schemas.openxmlformats.org/officeDocument/2006/relationships/worksheet" Target="worksheets/sheet3.xml"/><Relationship Id="rIdCorrected4" Type="http://schemas.openxmlformats.org/officeDocument/2006/relationships/worksheet" Target="worksheets/sheet4.xml"/><Relationship Id="rIdCorrected5" Type="http://schemas.openxmlformats.org/officeDocument/2006/relationships/worksheet" Target="worksheets/sheet5.xml"/></Relationships>
</file>

<file path=xl/tables/table1.xml><?xml version="1.0" encoding="utf-8"?>
<x:table xmlns:x="http://schemas.openxmlformats.org/spreadsheetml/2006/main" id="1" name="TeachingStudioTaskSchedule" displayName="TeachingStudioTaskSchedule" ref="A5:M117" headerRowCount="1" totalsRowCount="0" totalsRowShown="0">
  <x:autoFilter ref="A5:M117"/>
  <x:tableColumns count="13">
    <x:tableColumn id="1" name="Day"/>
    <x:tableColumn id="2" name="Shared application functionality"/>
    <x:tableColumn id="3" name="Whole-team outcome"/>
    <x:tableColumn id="4" name="Team member"/>
    <x:tableColumn id="5" name="Role"/>
    <x:tableColumn id="6" name="Individual task"/>
    <x:tableColumn id="7" name="Expected output"/>
    <x:tableColumn id="8" name="Individual done when"/>
    <x:tableColumn id="9" name="Day accepted when"/>
    <x:tableColumn id="10" name="Status"/>
    <x:tableColumn id="11" name="Progress"/>
    <x:tableColumn id="12" name="Blocker / dependency"/>
    <x:tableColumn id="13" name="Evidence / up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530bf2503e417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43" hidden="0" customWidth="1"/>
    <x:col min="4" max="4" width="31" hidden="0" customWidth="1"/>
    <x:col min="5" max="5" width="15" hidden="0" customWidth="1"/>
    <x:col min="6" max="6" width="4" hidden="0" customWidth="1"/>
    <x:col min="7" max="7" width="18" hidden="0" customWidth="1"/>
    <x:col min="8" max="8" width="18" hidden="0" customWidth="1"/>
    <x:col min="9" max="9" width="29" hidden="0" customWidth="1"/>
    <x:col min="10" max="10" width="34" hidden="0" customWidth="1"/>
  </x:cols>
  <x:sheetData>
    <x:row r="2">
      <x:c r="A2" s="1" t="str">
        <x:v>Teaching Studio MVP - provisional 28 working days</x:v>
      </x:c>
    </x:row>
    <x:row r="3">
      <x:c r="A3" s="3" t="str">
        <x:v>Select Day 1 to Day 28 to view the shared functionality and four individual assignments.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 ht="30" customHeight="1">
      <x:c r="A5" s="20" t="str">
        <x:v>Select day</x:v>
      </x:c>
      <x:c r="B5" s="27" t="str">
        <x:v>Day 1</x:v>
      </x:c>
      <x:c r="G5" s="20" t="str">
        <x:v>Overall completion</x:v>
      </x:c>
      <x:c r="H5" s="26" t="n">
        <x:f>AVERAGE(Schedule!$K$6:$K$117)</x:f>
      </x:c>
    </x:row>
    <x:row r="7" ht="36" customHeight="1">
      <x:c r="A7" s="6" t="str">
        <x:v>Shared functionality</x:v>
      </x:c>
      <x:c r="B7" s="30" t="str">
        <x:f>IF(COUNTIFS(Schedule!$A$6:$A$117,$B$5)=0,"Select a valid day",INDEX(Schedule!$B$6:$B$117,MATCH($B$5,Schedule!$A$6:$A$117,0)))</x:f>
      </x:c>
      <x:c r="C7" s="30"/>
      <x:c r="D7" s="30"/>
      <x:c r="E7" s="30"/>
      <x:c r="F7" s="30"/>
      <x:c r="G7" s="30"/>
      <x:c r="H7" s="30"/>
      <x:c r="I7" s="30"/>
      <x:c r="J7" s="30"/>
    </x:row>
    <x:row r="8" ht="36" customHeight="1">
      <x:c r="A8" s="6" t="str">
        <x:v>Whole-team outcome</x:v>
      </x:c>
      <x:c r="B8" s="30" t="str">
        <x:f>IF(COUNTIFS(Schedule!$A$6:$A$117,$B$5)=0,"",INDEX(Schedule!$C$6:$C$117,MATCH($B$5,Schedule!$A$6:$A$117,0)))</x:f>
      </x:c>
      <x:c r="C8" s="30"/>
      <x:c r="D8" s="30"/>
      <x:c r="E8" s="30"/>
      <x:c r="F8" s="30"/>
      <x:c r="G8" s="30"/>
      <x:c r="H8" s="30"/>
      <x:c r="I8" s="30"/>
      <x:c r="J8" s="30"/>
    </x:row>
    <x:row r="9" ht="36" customHeight="1">
      <x:c r="A9" s="6" t="str">
        <x:v>Day accepted when</x:v>
      </x:c>
      <x:c r="B9" s="30" t="str">
        <x:f>IF(COUNTIFS(Schedule!$A$6:$A$117,$B$5)=0,"",INDEX(Schedule!$I$6:$I$117,MATCH($B$5,Schedule!$A$6:$A$117,0)))</x:f>
      </x:c>
      <x:c r="C9" s="30"/>
      <x:c r="D9" s="30"/>
      <x:c r="E9" s="30"/>
      <x:c r="F9" s="30"/>
      <x:c r="G9" s="30"/>
      <x:c r="H9" s="30"/>
      <x:c r="I9" s="30"/>
      <x:c r="J9" s="30"/>
    </x:row>
    <x:row r="11" ht="32" customHeight="1">
      <x:c r="A11" s="10" t="str">
        <x:v>Team member</x:v>
      </x:c>
      <x:c r="B11" s="11" t="str">
        <x:v>Role</x:v>
      </x:c>
      <x:c r="C11" s="11" t="str">
        <x:v>Individual task</x:v>
      </x:c>
      <x:c r="D11" s="11" t="str">
        <x:v>Expected output</x:v>
      </x:c>
      <x:c r="E11" s="12" t="str">
        <x:v>Status</x:v>
      </x:c>
      <x:c r="G11" s="10" t="str">
        <x:v>Project status</x:v>
      </x:c>
      <x:c r="H11" s="11" t="str">
        <x:v>Value</x:v>
      </x:c>
      <x:c r="I11" s="11" t="str">
        <x:v>Meaning</x:v>
      </x:c>
      <x:c r="J11" s="12" t="str">
        <x:v>Action</x:v>
      </x:c>
    </x:row>
    <x:row r="12" ht="40" customHeight="1">
      <x:c r="A12" s="31" t="str">
        <x:f>IF(COUNTIFS(Schedule!$A$6:$A$117,$B$5)=0,"",INDEX(Schedule!$D$6:$D$117,MATCH($B$5,Schedule!$A$6:$A$117,0)))</x:f>
      </x:c>
      <x:c r="B12" s="15" t="str">
        <x:f>IF($A12="","",INDEX(Schedule!$E$6:$E$117,MATCH($B$5,Schedule!$A$6:$A$117,0)))</x:f>
      </x:c>
      <x:c r="C12" s="15" t="str">
        <x:f>IF($A12="","No work for the selected day",INDEX(Schedule!$F$6:$F$117,MATCH($B$5,Schedule!$A$6:$A$117,0)))</x:f>
      </x:c>
      <x:c r="D12" s="15" t="str">
        <x:f>IF($A12="","",INDEX(Schedule!$G$6:$G$117,MATCH($B$5,Schedule!$A$6:$A$117,0)))</x:f>
      </x:c>
      <x:c r="E12" s="15" t="str">
        <x:f>IF($A12="","—",INDEX(Schedule!$J$6:$J$117,MATCH($B$5,Schedule!$A$6:$A$117,0)))</x:f>
      </x:c>
      <x:c r="G12" s="31" t="str">
        <x:v>Tasks completed</x:v>
      </x:c>
      <x:c r="H12" s="32" t="n">
        <x:f>COUNTIFS(Schedule!$J$6:$J$117,"Complete")</x:f>
      </x:c>
      <x:c r="I12" s="15" t="str">
        <x:v>Individual assignments completed</x:v>
      </x:c>
      <x:c r="J12" s="15" t="str">
        <x:v>Update each person’s row separately</x:v>
      </x:c>
    </x:row>
    <x:row r="13" ht="40" customHeight="1">
      <x:c r="A13" s="31" t="str">
        <x:f>IF(COUNTIFS(Schedule!$A$6:$A$117,$B$5)=0,"",INDEX(Schedule!$D$6:$D$117,MATCH($B$5,Schedule!$A$6:$A$117,0)+1))</x:f>
      </x:c>
      <x:c r="B13" s="15" t="str">
        <x:f>IF($A13="","",INDEX(Schedule!$E$6:$E$117,MATCH($B$5,Schedule!$A$6:$A$117,0)+1))</x:f>
      </x:c>
      <x:c r="C13" s="15" t="str">
        <x:f>IF($A13="","No work for the selected day",INDEX(Schedule!$F$6:$F$117,MATCH($B$5,Schedule!$A$6:$A$117,0)+1))</x:f>
      </x:c>
      <x:c r="D13" s="15" t="str">
        <x:f>IF($A13="","",INDEX(Schedule!$G$6:$G$117,MATCH($B$5,Schedule!$A$6:$A$117,0)+1))</x:f>
      </x:c>
      <x:c r="E13" s="15" t="str">
        <x:f>IF($A13="","—",INDEX(Schedule!$J$6:$J$117,MATCH($B$5,Schedule!$A$6:$A$117,0)+1))</x:f>
      </x:c>
      <x:c r="G13" s="31" t="str">
        <x:v>Days completed</x:v>
      </x:c>
      <x:c r="H13" s="32" t="n">
        <x:f>IF(COUNTIFS(Schedule!$A$6:$A$117,"Day 1",Schedule!$J$6:$J$117,"Complete")=4,1,0)+IF(COUNTIFS(Schedule!$A$6:$A$117,"Day 2",Schedule!$J$6:$J$117,"Complete")=4,1,0)+IF(COUNTIFS(Schedule!$A$6:$A$117,"Day 3",Schedule!$J$6:$J$117,"Complete")=4,1,0)+IF(COUNTIFS(Schedule!$A$6:$A$117,"Day 4",Schedule!$J$6:$J$117,"Complete")=4,1,0)+IF(COUNTIFS(Schedule!$A$6:$A$117,"Day 5",Schedule!$J$6:$J$117,"Complete")=4,1,0)+IF(COUNTIFS(Schedule!$A$6:$A$117,"Day 6",Schedule!$J$6:$J$117,"Complete")=4,1,0)+IF(COUNTIFS(Schedule!$A$6:$A$117,"Day 7",Schedule!$J$6:$J$117,"Complete")=4,1,0)+IF(COUNTIFS(Schedule!$A$6:$A$117,"Day 8",Schedule!$J$6:$J$117,"Complete")=4,1,0)+IF(COUNTIFS(Schedule!$A$6:$A$117,"Day 9",Schedule!$J$6:$J$117,"Complete")=4,1,0)+IF(COUNTIFS(Schedule!$A$6:$A$117,"Day 10",Schedule!$J$6:$J$117,"Complete")=4,1,0)+IF(COUNTIFS(Schedule!$A$6:$A$117,"Day 11",Schedule!$J$6:$J$117,"Complete")=4,1,0)+IF(COUNTIFS(Schedule!$A$6:$A$117,"Day 12",Schedule!$J$6:$J$117,"Complete")=4,1,0)+IF(COUNTIFS(Schedule!$A$6:$A$117,"Day 13",Schedule!$J$6:$J$117,"Complete")=4,1,0)+IF(COUNTIFS(Schedule!$A$6:$A$117,"Day 14",Schedule!$J$6:$J$117,"Complete")=4,1,0)+IF(COUNTIFS(Schedule!$A$6:$A$117,"Day 15",Schedule!$J$6:$J$117,"Complete")=4,1,0)+IF(COUNTIFS(Schedule!$A$6:$A$117,"Day 16",Schedule!$J$6:$J$117,"Complete")=4,1,0)+IF(COUNTIFS(Schedule!$A$6:$A$117,"Day 17",Schedule!$J$6:$J$117,"Complete")=4,1,0)+IF(COUNTIFS(Schedule!$A$6:$A$117,"Day 18",Schedule!$J$6:$J$117,"Complete")=4,1,0)+IF(COUNTIFS(Schedule!$A$6:$A$117,"Day 19",Schedule!$J$6:$J$117,"Complete")=4,1,0)+IF(COUNTIFS(Schedule!$A$6:$A$117,"Day 20",Schedule!$J$6:$J$117,"Complete")=4,1,0)+IF(COUNTIFS(Schedule!$A$6:$A$117,"Day 21",Schedule!$J$6:$J$117,"Complete")=4,1,0)+IF(COUNTIFS(Schedule!$A$6:$A$117,"Day 22",Schedule!$J$6:$J$117,"Complete")=4,1,0)+IF(COUNTIFS(Schedule!$A$6:$A$117,"Day 23",Schedule!$J$6:$J$117,"Complete")=4,1,0)+IF(COUNTIFS(Schedule!$A$6:$A$117,"Day 24",Schedule!$J$6:$J$117,"Complete")=4,1,0)+IF(COUNTIFS(Schedule!$A$6:$A$117,"Day 25",Schedule!$J$6:$J$117,"Complete")=4,1,0)+IF(COUNTIFS(Schedule!$A$6:$A$117,"Day 26",Schedule!$J$6:$J$117,"Complete")=4,1,0)+IF(COUNTIFS(Schedule!$A$6:$A$117,"Day 27",Schedule!$J$6:$J$117,"Complete")=4,1,0)+IF(COUNTIFS(Schedule!$A$6:$A$117,"Day 28",Schedule!$J$6:$J$117,"Complete")=4,1,0)</x:f>
      </x:c>
      <x:c r="I13" s="15" t="str">
        <x:v>Full four-person workdays completed</x:v>
      </x:c>
      <x:c r="J13" s="15" t="str">
        <x:v>Close all four rows during the daily review</x:v>
      </x:c>
    </x:row>
    <x:row r="14" ht="40" customHeight="1">
      <x:c r="A14" s="31" t="str">
        <x:f>IF(COUNTIFS(Schedule!$A$6:$A$117,$B$5)=0,"",INDEX(Schedule!$D$6:$D$117,MATCH($B$5,Schedule!$A$6:$A$117,0)+2))</x:f>
      </x:c>
      <x:c r="B14" s="15" t="str">
        <x:f>IF($A14="","",INDEX(Schedule!$E$6:$E$117,MATCH($B$5,Schedule!$A$6:$A$117,0)+2))</x:f>
      </x:c>
      <x:c r="C14" s="15" t="str">
        <x:f>IF($A14="","No work for the selected day",INDEX(Schedule!$F$6:$F$117,MATCH($B$5,Schedule!$A$6:$A$117,0)+2))</x:f>
      </x:c>
      <x:c r="D14" s="15" t="str">
        <x:f>IF($A14="","",INDEX(Schedule!$G$6:$G$117,MATCH($B$5,Schedule!$A$6:$A$117,0)+2))</x:f>
      </x:c>
      <x:c r="E14" s="15" t="str">
        <x:f>IF($A14="","—",INDEX(Schedule!$J$6:$J$117,MATCH($B$5,Schedule!$A$6:$A$117,0)+2))</x:f>
      </x:c>
      <x:c r="G14" s="31" t="str">
        <x:v>Days remaining</x:v>
      </x:c>
      <x:c r="H14" s="32" t="n">
        <x:f>MAX(0,28-H13)</x:f>
      </x:c>
      <x:c r="I14" s="15" t="str">
        <x:v>Workdays still open</x:v>
      </x:c>
      <x:c r="J14" s="15" t="str">
        <x:v>Finish current work before pulling future tasks</x:v>
      </x:c>
    </x:row>
    <x:row r="15" ht="40" customHeight="1">
      <x:c r="A15" s="31" t="str">
        <x:f>IF(COUNTIFS(Schedule!$A$6:$A$117,$B$5)=0,"",INDEX(Schedule!$D$6:$D$117,MATCH($B$5,Schedule!$A$6:$A$117,0)+3))</x:f>
      </x:c>
      <x:c r="B15" s="15" t="str">
        <x:f>IF($A15="","",INDEX(Schedule!$E$6:$E$117,MATCH($B$5,Schedule!$A$6:$A$117,0)+3))</x:f>
      </x:c>
      <x:c r="C15" s="15" t="str">
        <x:f>IF($A15="","No work for the selected day",INDEX(Schedule!$F$6:$F$117,MATCH($B$5,Schedule!$A$6:$A$117,0)+3))</x:f>
      </x:c>
      <x:c r="D15" s="15" t="str">
        <x:f>IF($A15="","",INDEX(Schedule!$G$6:$G$117,MATCH($B$5,Schedule!$A$6:$A$117,0)+3))</x:f>
      </x:c>
      <x:c r="E15" s="15" t="str">
        <x:f>IF($A15="","—",INDEX(Schedule!$J$6:$J$117,MATCH($B$5,Schedule!$A$6:$A$117,0)+3))</x:f>
      </x:c>
      <x:c r="G15" s="31" t="str">
        <x:v>Final planned day</x:v>
      </x:c>
      <x:c r="H15" s="32" t="str">
        <x:f>Schedule!$A$117</x:f>
      </x:c>
      <x:c r="I15" s="15" t="str">
        <x:v>Last day in the 28-day sequence</x:v>
      </x:c>
      <x:c r="J15" s="15" t="str">
        <x:v>Holidays do not consume a project day</x:v>
      </x:c>
    </x:row>
    <x:row r="16" ht="40" customHeight="1">
      <x:c r="G16" s="31" t="str">
        <x:v>Current state</x:v>
      </x:c>
      <x:c r="H16" s="32" t="str">
        <x:f>IF(COUNTIF(Schedule!$J$6:$J$117,"Blocked")&gt;0,"Blocked",IF(COUNTIF(Schedule!$J$6:$J$117,"Needs verification")&gt;0,"Needs verification",IF(H12=112,"Complete",IF(COUNTIF(Schedule!$J$6:$J$117,"In Progress")&gt;0,"In Progress","Planned"))))</x:f>
      </x:c>
      <x:c r="I16" s="15" t="str">
        <x:v>Overall project state</x:v>
      </x:c>
      <x:c r="J16" s="15" t="str">
        <x:v>Record blockers in the Schedule sheet</x:v>
      </x:c>
    </x:row>
    <x:row r="18">
      <x:c r="A18" s="20" t="str">
        <x:v>How the team uses this tracker</x:v>
      </x:c>
      <x:c r="B18" s="19"/>
      <x:c r="C18" s="19"/>
      <x:c r="D18" s="19"/>
      <x:c r="E18" s="19"/>
      <x:c r="F18" s="19"/>
      <x:c r="G18" s="19"/>
      <x:c r="H18" s="19"/>
      <x:c r="I18" s="19"/>
      <x:c r="J18" s="19"/>
    </x:row>
    <x:row r="19" ht="32" customHeight="1">
      <x:c r="A19" s="33" t="str">
        <x:v>1</x:v>
      </x:c>
      <x:c r="B19" s="31" t="str">
        <x:v>Start of day</x:v>
      </x:c>
      <x:c r="C19" s="15" t="str">
        <x:v>Read the shared feature, then each member starts only their own assigned row.</x:v>
      </x:c>
      <x:c r="D19" s="15"/>
      <x:c r="E19" s="15"/>
      <x:c r="F19" s="15"/>
      <x:c r="G19" s="15"/>
      <x:c r="H19" s="15"/>
      <x:c r="I19" s="15"/>
      <x:c r="J19" s="15"/>
    </x:row>
    <x:row r="20" ht="32" customHeight="1">
      <x:c r="A20" s="33" t="str">
        <x:v>2</x:v>
      </x:c>
      <x:c r="B20" s="31" t="str">
        <x:v>During the day</x:v>
      </x:c>
      <x:c r="C20" s="15" t="str">
        <x:v>Rahul, Poojitha and Dhanunjaya complete their rotating roles independently; Teja prepares and runs QA.</x:v>
      </x:c>
      <x:c r="D20" s="15"/>
      <x:c r="E20" s="15"/>
      <x:c r="F20" s="15"/>
      <x:c r="G20" s="15"/>
      <x:c r="H20" s="15"/>
      <x:c r="I20" s="15"/>
      <x:c r="J20" s="15"/>
    </x:row>
    <x:row r="21" ht="32" customHeight="1">
      <x:c r="A21" s="33" t="str">
        <x:v>3</x:v>
      </x:c>
      <x:c r="B21" s="31" t="str">
        <x:v>Before closing</x:v>
      </x:c>
      <x:c r="C21" s="15" t="str">
        <x:v>Each person updates status and evidence for their own row. Discuss blockers together.</x:v>
      </x:c>
      <x:c r="D21" s="15"/>
      <x:c r="E21" s="15"/>
      <x:c r="F21" s="15"/>
      <x:c r="G21" s="15"/>
      <x:c r="H21" s="15"/>
      <x:c r="I21" s="15"/>
      <x:c r="J21" s="15"/>
    </x:row>
    <x:row r="22" ht="32" customHeight="1">
      <x:c r="A22" s="33" t="str">
        <x:v>4</x:v>
      </x:c>
      <x:c r="B22" s="31" t="str">
        <x:v>End-of-day review</x:v>
      </x:c>
      <x:c r="C22" s="15" t="str">
        <x:v>Review all four outputs together and close the day only when the shared completion rule is met.</x:v>
      </x:c>
      <x:c r="D22" s="15"/>
      <x:c r="E22" s="15"/>
      <x:c r="F22" s="15"/>
      <x:c r="G22" s="15"/>
      <x:c r="H22" s="15"/>
      <x:c r="I22" s="15"/>
      <x:c r="J22" s="15"/>
    </x:row>
  </x:sheetData>
  <x:mergeCells>
    <x:mergeCell ref="B5:C5"/>
    <x:mergeCell ref="B7:J7"/>
    <x:mergeCell ref="B8:J8"/>
    <x:mergeCell ref="B9:J9"/>
    <x:mergeCell ref="C19:J19"/>
    <x:mergeCell ref="C20:J20"/>
    <x:mergeCell ref="C21:J21"/>
    <x:mergeCell ref="C22:J22"/>
  </x:mergeCells>
  <x:conditionalFormatting sqref="E12:E15">
    <x:cfRule type="containsText" dxfId="4" priority="1" operator="containsText" text="Complete"/>
    <x:cfRule type="containsText" dxfId="5" priority="2" operator="containsText" text="In Progress"/>
    <x:cfRule type="containsText" dxfId="6" priority="3" operator="containsText" text="Ready"/>
    <x:cfRule type="containsText" dxfId="7" priority="4" operator="containsText" text="Blocked"/>
  </x:conditionalFormatting>
  <x:conditionalFormatting sqref="H16:H16">
    <x:cfRule type="containsText" dxfId="8" priority="5" operator="containsText" text="Complete"/>
    <x:cfRule type="containsText" dxfId="9" priority="6" operator="containsText" text="In Progress"/>
    <x:cfRule type="containsText" dxfId="10" priority="7" operator="containsText" text="Ready"/>
    <x:cfRule type="containsText" dxfId="11" priority="8" operator="containsText" text="Blocked"/>
  </x:conditionalFormatting>
  <x:dataValidations count="1">
    <x:dataValidation type="list" sqref="B5">
      <x:formula1>"Day 1,Day 2,Day 3,Day 4,Day 5,Day 6,Day 7,Day 8,Day 9,Day 10,Day 11,Day 12,Day 13,Day 14,Day 15,Day 16,Day 17,Day 18,Day 19,Day 20,Day 21,Day 22,Day 23,Day 24,Day 25,Day 26,Day 27,Day 28"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2" hidden="0" customWidth="1"/>
    <x:col min="4" max="4" width="15" hidden="0" customWidth="1"/>
    <x:col min="5" max="5" width="14" hidden="0" customWidth="1"/>
    <x:col min="6" max="6" width="42" hidden="0" customWidth="1"/>
    <x:col min="7" max="7" width="30" hidden="0" customWidth="1"/>
    <x:col min="8" max="8" width="34" hidden="0" customWidth="1"/>
    <x:col min="9" max="9" width="38" hidden="0" customWidth="1"/>
    <x:col min="10" max="10" width="15" hidden="0" customWidth="1"/>
    <x:col min="11" max="11" width="12" hidden="0" customWidth="1"/>
    <x:col min="12" max="12" width="22" hidden="0" customWidth="1"/>
    <x:col min="13" max="13" width="30" hidden="0" customWidth="1"/>
  </x:cols>
  <x:sheetData>
    <x:row r="2">
      <x:c r="A2" s="1" t="str">
        <x:v>28-working-day Teaching Studio MVP implementation plan ? corrected</x:v>
      </x:c>
    </x:row>
    <x:row r="3">
      <x:c r="A3" s="3" t="str">
        <x:v>Provisional effort sequence, not a committed delivery date. Reuse React/Vite, Express, PostgreSQL/Supabase and existing LMS identity. Advance only after acceptance evidence; see Scope and Gates.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5" ht="32" customHeight="1">
      <x:c r="A5" s="10" t="str">
        <x:v>Day</x:v>
      </x:c>
      <x:c r="B5" s="11" t="str">
        <x:v>Shared application functionality</x:v>
      </x:c>
      <x:c r="C5" s="11" t="str">
        <x:v>Whole-team outcome</x:v>
      </x:c>
      <x:c r="D5" s="11" t="str">
        <x:v>Team member</x:v>
      </x:c>
      <x:c r="E5" s="11" t="str">
        <x:v>Role</x:v>
      </x:c>
      <x:c r="F5" s="11" t="str">
        <x:v>Individual task</x:v>
      </x:c>
      <x:c r="G5" s="11" t="str">
        <x:v>Expected output</x:v>
      </x:c>
      <x:c r="H5" s="11" t="str">
        <x:v>Individual done when</x:v>
      </x:c>
      <x:c r="I5" s="11" t="str">
        <x:v>Day accepted when</x:v>
      </x:c>
      <x:c r="J5" s="11" t="str">
        <x:v>Status</x:v>
      </x:c>
      <x:c r="K5" s="11" t="str">
        <x:v>Progress</x:v>
      </x:c>
      <x:c r="L5" s="11" t="str">
        <x:v>Blocker / dependency</x:v>
      </x:c>
      <x:c r="M5" s="12" t="str">
        <x:v>Evidence / update</x:v>
      </x:c>
    </x:row>
    <x:row r="6" ht="66" customHeight="1">
      <x:c r="A6" s="16" t="str">
        <x:v>Day 1</x:v>
      </x:c>
      <x:c r="B6" s="16" t="str">
        <x:v>Project requirements and LMS integration scope</x:v>
      </x:c>
      <x:c r="C6" s="16" t="str">
        <x:v>Agree what Teaching Studio reuses from the LMS and what must be added.</x:v>
      </x:c>
      <x:c r="D6" s="16" t="str">
        <x:v>Rahul</x:v>
      </x:c>
      <x:c r="E6" s="16" t="str">
        <x:v>Backend</x:v>
      </x:c>
      <x:c r="F6" s="16" t="str">
        <x:v>Backend — Review LMS authentication, curriculum, content and teaching-session services; record reusable services.</x:v>
      </x:c>
      <x:c r="G6" s="16" t="str">
        <x:v>Reviewed LMS reuse/gap inventory and BR-01?BR-36 traceability entries for Backend</x:v>
      </x:c>
      <x:c r="H6" s="16" t="str">
        <x:v>Repository paths, existing capability, gap, owner and acceptance evidence are recorded; code delivery is not required for this analysis task.</x:v>
      </x:c>
      <x:c r="I6" s="16" t="str">
        <x:v>The team has one agreed reuse-and-gap baseline for the existing LMS.</x:v>
      </x:c>
      <x:c r="J6" s="16" t="str">
        <x:v>Needs verification</x:v>
      </x:c>
      <x:c r="K6" s="17" t="n">
        <x:v>0</x:v>
      </x:c>
      <x:c r="L6" s="16" t="str">
        <x:v>None</x:v>
      </x:c>
      <x:c r="M6" s="16" t="str">
        <x:v>Prior tracker claimed complete. Unverified in reviewed checkout. Claimed evidence: Team confirmed Day 1 complete. Attach commit, commands/results and reviewer before closing.</x:v>
      </x:c>
    </x:row>
    <x:row r="7" ht="66" customHeight="1">
      <x:c r="A7" s="16" t="str">
        <x:v>Day 1</x:v>
      </x:c>
      <x:c r="B7" s="16" t="str">
        <x:v>Project requirements and LMS integration scope</x:v>
      </x:c>
      <x:c r="C7" s="16" t="str">
        <x:v>Agree what Teaching Studio reuses from the LMS and what must be added.</x:v>
      </x:c>
      <x:c r="D7" s="16" t="str">
        <x:v>Poojitha</x:v>
      </x:c>
      <x:c r="E7" s="16" t="str">
        <x:v>Frontend</x:v>
      </x:c>
      <x:c r="F7" s="16" t="str">
        <x:v>Frontend — Review required Studio screens, layouts and resource flows; record UI gaps.</x:v>
      </x:c>
      <x:c r="G7" s="16" t="str">
        <x:v>Reviewed LMS reuse/gap inventory and BR-01?BR-36 traceability entries for Frontend</x:v>
      </x:c>
      <x:c r="H7" s="16" t="str">
        <x:v>Repository paths, existing capability, gap, owner and acceptance evidence are recorded; code delivery is not required for this analysis task.</x:v>
      </x:c>
      <x:c r="I7" s="16" t="str">
        <x:v>The team has one agreed reuse-and-gap baseline for the existing LMS.</x:v>
      </x:c>
      <x:c r="J7" s="16" t="str">
        <x:v>Needs verification</x:v>
      </x:c>
      <x:c r="K7" s="17" t="n">
        <x:v>0</x:v>
      </x:c>
      <x:c r="L7" s="16" t="str">
        <x:v>None</x:v>
      </x:c>
      <x:c r="M7" s="16" t="str">
        <x:v>Prior tracker claimed complete. Unverified in reviewed checkout. Claimed evidence: Team confirmed Day 1 complete. Attach commit, commands/results and reviewer before closing.</x:v>
      </x:c>
    </x:row>
    <x:row r="8" ht="66" customHeight="1">
      <x:c r="A8" s="16" t="str">
        <x:v>Day 1</x:v>
      </x:c>
      <x:c r="B8" s="16" t="str">
        <x:v>Project requirements and LMS integration scope</x:v>
      </x:c>
      <x:c r="C8" s="16" t="str">
        <x:v>Agree what Teaching Studio reuses from the LMS and what must be added.</x:v>
      </x:c>
      <x:c r="D8" s="16" t="str">
        <x:v>Dhanunjaya</x:v>
      </x:c>
      <x:c r="E8" s="16" t="str">
        <x:v>Database</x:v>
      </x:c>
      <x:c r="F8" s="16" t="str">
        <x:v>Database — Review the current LMS schema against Teaching Studio entities; record mapping gaps.</x:v>
      </x:c>
      <x:c r="G8" s="16" t="str">
        <x:v>Reviewed LMS reuse/gap inventory and BR-01?BR-36 traceability entries for Database</x:v>
      </x:c>
      <x:c r="H8" s="16" t="str">
        <x:v>Repository paths, existing capability, gap, owner and acceptance evidence are recorded; code delivery is not required for this analysis task.</x:v>
      </x:c>
      <x:c r="I8" s="16" t="str">
        <x:v>The team has one agreed reuse-and-gap baseline for the existing LMS.</x:v>
      </x:c>
      <x:c r="J8" s="16" t="str">
        <x:v>Needs verification</x:v>
      </x:c>
      <x:c r="K8" s="17" t="n">
        <x:v>0</x:v>
      </x:c>
      <x:c r="L8" s="16" t="str">
        <x:v>None</x:v>
      </x:c>
      <x:c r="M8" s="16" t="str">
        <x:v>Prior tracker claimed complete. Unverified in reviewed checkout. Claimed evidence: Team confirmed Day 1 complete. Attach commit, commands/results and reviewer before closing.</x:v>
      </x:c>
    </x:row>
    <x:row r="9" ht="66" customHeight="1">
      <x:c r="A9" s="16" t="str">
        <x:v>Day 1</x:v>
      </x:c>
      <x:c r="B9" s="16" t="str">
        <x:v>Project requirements and LMS integration scope</x:v>
      </x:c>
      <x:c r="C9" s="16" t="str">
        <x:v>Agree what Teaching Studio reuses from the LMS and what must be added.</x:v>
      </x:c>
      <x:c r="D9" s="16" t="str">
        <x:v>Teja</x:v>
      </x:c>
      <x:c r="E9" s="16" t="str">
        <x:v>QA</x:v>
      </x:c>
      <x:c r="F9" s="16" t="str">
        <x:v>QA — Create the first acceptance checklist from the BRD and guides.</x:v>
      </x:c>
      <x:c r="G9" s="16" t="str">
        <x:v>Reviewed LMS reuse/gap inventory and BR-01?BR-36 traceability entries for QA</x:v>
      </x:c>
      <x:c r="H9" s="16" t="str">
        <x:v>Repository paths, existing capability, gap, owner and acceptance evidence are recorded; code delivery is not required for this analysis task.</x:v>
      </x:c>
      <x:c r="I9" s="16" t="str">
        <x:v>The team has one agreed reuse-and-gap baseline for the existing LMS.</x:v>
      </x:c>
      <x:c r="J9" s="16" t="str">
        <x:v>Needs verification</x:v>
      </x:c>
      <x:c r="K9" s="17" t="n">
        <x:v>0</x:v>
      </x:c>
      <x:c r="L9" s="16" t="str">
        <x:v>None</x:v>
      </x:c>
      <x:c r="M9" s="16" t="str">
        <x:v>Prior tracker claimed complete. Unverified in reviewed checkout. Claimed evidence: Team confirmed Day 1 complete. Attach commit, commands/results and reviewer before closing.</x:v>
      </x:c>
    </x:row>
    <x:row r="10" ht="66" customHeight="1">
      <x:c r="A10" s="16" t="str">
        <x:v>Day 2</x:v>
      </x:c>
      <x:c r="B10" s="16" t="str">
        <x:v>Resource Library model and safe local setup</x:v>
      </x:c>
      <x:c r="C10" s="16" t="str">
        <x:v>Prepare the Resource Library architecture without changing hosted production data.</x:v>
      </x:c>
      <x:c r="D10" s="16" t="str">
        <x:v>Rahul</x:v>
      </x:c>
      <x:c r="E10" s="16" t="str">
        <x:v>Database</x:v>
      </x:c>
      <x:c r="F10" s="16" t="str">
        <x:v>Database — Draft resource items, versions, bindings and supporting tables; document the LMS identity mismatch.</x:v>
      </x:c>
      <x:c r="G10" s="16" t="str">
        <x:v>Reviewed resource schema/service/UI/test design for Database</x:v>
      </x:c>
      <x:c r="H10" s="16" t="str">
        <x:v>Design is mapped to current LMS integer identities and client/school scope; local-only execution and migration assumptions are documented.</x:v>
      </x:c>
      <x:c r="I10" s="16" t="str">
        <x:v>The schema draft, integration risks and local test approach are documented.</x:v>
      </x:c>
      <x:c r="J10" s="16" t="str">
        <x:v>Needs verification</x:v>
      </x:c>
      <x:c r="K10" s="17" t="n">
        <x:v>0</x:v>
      </x:c>
      <x:c r="L10" s="16" t="str">
        <x:v>Day 1</x:v>
      </x:c>
      <x:c r="M10" s="16" t="str">
        <x:v>Prior tracker claimed complete. Unverified in reviewed checkout. Claimed evidence: review/day2_schema_review.md. Attach commit, commands/results and reviewer before closing.</x:v>
      </x:c>
    </x:row>
    <x:row r="11" ht="66" customHeight="1">
      <x:c r="A11" s="16" t="str">
        <x:v>Day 2</x:v>
      </x:c>
      <x:c r="B11" s="16" t="str">
        <x:v>Resource Library model and safe local setup</x:v>
      </x:c>
      <x:c r="C11" s="16" t="str">
        <x:v>Prepare the Resource Library architecture without changing hosted production data.</x:v>
      </x:c>
      <x:c r="D11" s="16" t="str">
        <x:v>Poojitha</x:v>
      </x:c>
      <x:c r="E11" s="16" t="str">
        <x:v>Backend</x:v>
      </x:c>
      <x:c r="F11" s="16" t="str">
        <x:v>Backend — Define resource, version and binding service boundaries and access rules.</x:v>
      </x:c>
      <x:c r="G11" s="16" t="str">
        <x:v>Reviewed resource schema/service/UI/test design for Backend</x:v>
      </x:c>
      <x:c r="H11" s="16" t="str">
        <x:v>Design is mapped to current LMS integer identities and client/school scope; local-only execution and migration assumptions are documented.</x:v>
      </x:c>
      <x:c r="I11" s="16" t="str">
        <x:v>The schema draft, integration risks and local test approach are documented.</x:v>
      </x:c>
      <x:c r="J11" s="16" t="str">
        <x:v>Needs verification</x:v>
      </x:c>
      <x:c r="K11" s="17" t="n">
        <x:v>0</x:v>
      </x:c>
      <x:c r="L11" s="16" t="str">
        <x:v>Day 1</x:v>
      </x:c>
      <x:c r="M11" s="16" t="str">
        <x:v>Prior tracker claimed complete. Unverified in reviewed checkout. Claimed evidence: review/day2_schema_review.md. Attach commit, commands/results and reviewer before closing.</x:v>
      </x:c>
    </x:row>
    <x:row r="12" ht="66" customHeight="1">
      <x:c r="A12" s="16" t="str">
        <x:v>Day 2</x:v>
      </x:c>
      <x:c r="B12" s="16" t="str">
        <x:v>Resource Library model and safe local setup</x:v>
      </x:c>
      <x:c r="C12" s="16" t="str">
        <x:v>Prepare the Resource Library architecture without changing hosted production data.</x:v>
      </x:c>
      <x:c r="D12" s="16" t="str">
        <x:v>Dhanunjaya</x:v>
      </x:c>
      <x:c r="E12" s="16" t="str">
        <x:v>Frontend</x:v>
      </x:c>
      <x:c r="F12" s="16" t="str">
        <x:v>Frontend — Define the catalog, search, version and placement information required by the UI.</x:v>
      </x:c>
      <x:c r="G12" s="16" t="str">
        <x:v>Reviewed resource schema/service/UI/test design for Frontend</x:v>
      </x:c>
      <x:c r="H12" s="16" t="str">
        <x:v>Design is mapped to current LMS integer identities and client/school scope; local-only execution and migration assumptions are documented.</x:v>
      </x:c>
      <x:c r="I12" s="16" t="str">
        <x:v>The schema draft, integration risks and local test approach are documented.</x:v>
      </x:c>
      <x:c r="J12" s="16" t="str">
        <x:v>Needs verification</x:v>
      </x:c>
      <x:c r="K12" s="17" t="n">
        <x:v>0</x:v>
      </x:c>
      <x:c r="L12" s="16" t="str">
        <x:v>Day 1</x:v>
      </x:c>
      <x:c r="M12" s="16" t="str">
        <x:v>Prior tracker claimed complete. Unverified in reviewed checkout. Claimed evidence: review/day2_schema_review.md. Attach commit, commands/results and reviewer before closing.</x:v>
      </x:c>
    </x:row>
    <x:row r="13" ht="66" customHeight="1">
      <x:c r="A13" s="16" t="str">
        <x:v>Day 2</x:v>
      </x:c>
      <x:c r="B13" s="16" t="str">
        <x:v>Resource Library model and safe local setup</x:v>
      </x:c>
      <x:c r="C13" s="16" t="str">
        <x:v>Prepare the Resource Library architecture without changing hosted production data.</x:v>
      </x:c>
      <x:c r="D13" s="16" t="str">
        <x:v>Teja</x:v>
      </x:c>
      <x:c r="E13" s="16" t="str">
        <x:v>QA</x:v>
      </x:c>
      <x:c r="F13" s="16" t="str">
        <x:v>QA — Prepare schema, version immutability and tenant-isolation test cases.</x:v>
      </x:c>
      <x:c r="G13" s="16" t="str">
        <x:v>Reviewed resource schema/service/UI/test design for QA</x:v>
      </x:c>
      <x:c r="H13" s="16" t="str">
        <x:v>Design is mapped to current LMS integer identities and client/school scope; local-only execution and migration assumptions are documented.</x:v>
      </x:c>
      <x:c r="I13" s="16" t="str">
        <x:v>The schema draft, integration risks and local test approach are documented.</x:v>
      </x:c>
      <x:c r="J13" s="16" t="str">
        <x:v>Needs verification</x:v>
      </x:c>
      <x:c r="K13" s="17" t="n">
        <x:v>0</x:v>
      </x:c>
      <x:c r="L13" s="16" t="str">
        <x:v>Day 1</x:v>
      </x:c>
      <x:c r="M13" s="16" t="str">
        <x:v>Prior tracker claimed complete. Unverified in reviewed checkout. Claimed evidence: review/day2_schema_review.md. Attach commit, commands/results and reviewer before closing.</x:v>
      </x:c>
    </x:row>
    <x:row r="14" ht="66" customHeight="1">
      <x:c r="A14" s="16" t="str">
        <x:v>Day 3</x:v>
      </x:c>
      <x:c r="B14" s="16" t="str">
        <x:v>Integrated Teaching Studio authoring foundation in the LMS</x:v>
      </x:c>
      <x:c r="C14" s="16" t="str">
        <x:v>Establish the complete shared foundation: protected LMS access, the authoring workspace and layouts, safe local data setup, and QA coverage.</x:v>
      </x:c>
      <x:c r="D14" s="16" t="str">
        <x:v>Rahul</x:v>
      </x:c>
      <x:c r="E14" s="16" t="str">
        <x:v>Backend</x:v>
      </x:c>
      <x:c r="F14" s="16" t="str">
        <x:v>Backend — Connect the protected Studio route to existing LMS role access.</x:v>
      </x:c>
      <x:c r="G14" s="16" t="str">
        <x:v>Working API/service for Integrated Teaching Studio authoring foundation in the LMS</x:v>
      </x:c>
      <x:c r="H14" s="16" t="str">
        <x:v>The service/API works with permissions and error handling and is ready for QA.</x:v>
      </x:c>
      <x:c r="I14" s="16" t="str">
        <x:v>Role-based access works, the authoring workspace and layouts render, the local data foundation is usable, and QA has verified the combined flow.</x:v>
      </x:c>
      <x:c r="J14" s="16" t="str">
        <x:v>Needs verification</x:v>
      </x:c>
      <x:c r="K14" s="17" t="n">
        <x:v>0</x:v>
      </x:c>
      <x:c r="L14" s="16" t="str">
        <x:v>Days 1?2; confirm provisional LMS mapping before local implementation</x:v>
      </x:c>
      <x:c r="M14" s="16" t="str">
        <x:v>Prior tracker claimed complete. Unverified in reviewed checkout. Claimed evidence: docs/teaching-studio-day3.md. Attach commit, commands/results and reviewer before closing. Studio routes/canvas and cited day3 document were not found in reviewed application source; SQL files alone do not verify this gate.</x:v>
      </x:c>
    </x:row>
    <x:row r="15" ht="66" customHeight="1">
      <x:c r="A15" s="16" t="str">
        <x:v>Day 3</x:v>
      </x:c>
      <x:c r="B15" s="16" t="str">
        <x:v>Integrated Teaching Studio authoring foundation in the LMS</x:v>
      </x:c>
      <x:c r="C15" s="16" t="str">
        <x:v>Establish the complete shared foundation: protected LMS access, the authoring workspace and layouts, safe local data setup, and QA coverage.</x:v>
      </x:c>
      <x:c r="D15" s="16" t="str">
        <x:v>Poojitha</x:v>
      </x:c>
      <x:c r="E15" s="16" t="str">
        <x:v>Database</x:v>
      </x:c>
      <x:c r="F15" s="16" t="str">
        <x:v>Database — Prepare the local migration/seed foundation needed for safe Studio testing.</x:v>
      </x:c>
      <x:c r="G15" s="16" t="str">
        <x:v>Reviewed schema, migration or data change for Integrated Teaching Studio authoring foundation in the LMS</x:v>
      </x:c>
      <x:c r="H15" s="16" t="str">
        <x:v>The schema/query change runs locally, preserves integrity and is ready for QA.</x:v>
      </x:c>
      <x:c r="I15" s="16" t="str">
        <x:v>Role-based access works, the authoring workspace and layouts render, the local data foundation is usable, and QA has verified the combined flow.</x:v>
      </x:c>
      <x:c r="J15" s="16" t="str">
        <x:v>Needs verification</x:v>
      </x:c>
      <x:c r="K15" s="17" t="n">
        <x:v>0</x:v>
      </x:c>
      <x:c r="L15" s="16" t="str">
        <x:v>Days 1?2; confirm provisional LMS mapping before local implementation</x:v>
      </x:c>
      <x:c r="M15" s="16" t="str">
        <x:v>Prior tracker claimed complete. Unverified in reviewed checkout. Claimed evidence: docs/teaching-studio-day3.md. Attach commit, commands/results and reviewer before closing. Studio routes/canvas and cited day3 document were not found in reviewed application source; SQL files alone do not verify this gate.</x:v>
      </x:c>
    </x:row>
    <x:row r="16" ht="66" customHeight="1">
      <x:c r="A16" s="16" t="str">
        <x:v>Day 3</x:v>
      </x:c>
      <x:c r="B16" s="16" t="str">
        <x:v>Integrated Teaching Studio authoring foundation in the LMS</x:v>
      </x:c>
      <x:c r="C16" s="16" t="str">
        <x:v>Establish the complete shared foundation: protected LMS access, the authoring workspace and layouts, safe local data setup, and QA coverage.</x:v>
      </x:c>
      <x:c r="D16" s="16" t="str">
        <x:v>Dhanunjaya</x:v>
      </x:c>
      <x:c r="E16" s="16" t="str">
        <x:v>Frontend</x:v>
      </x:c>
      <x:c r="F16" s="16" t="str">
        <x:v>Frontend — Implement the 1920 × 1080 canvas, safe margins and 14 target layouts.</x:v>
      </x:c>
      <x:c r="G16" s="16" t="str">
        <x:v>Working UI/component for Integrated Teaching Studio authoring foundation in the LMS</x:v>
      </x:c>
      <x:c r="H16" s="16" t="str">
        <x:v>The UI works in the agreed flow and is ready for QA.</x:v>
      </x:c>
      <x:c r="I16" s="16" t="str">
        <x:v>Role-based access works, the authoring workspace and layouts render, the local data foundation is usable, and QA has verified the combined flow.</x:v>
      </x:c>
      <x:c r="J16" s="16" t="str">
        <x:v>Needs verification</x:v>
      </x:c>
      <x:c r="K16" s="17" t="n">
        <x:v>0</x:v>
      </x:c>
      <x:c r="L16" s="16" t="str">
        <x:v>Days 1?2; confirm provisional LMS mapping before local implementation</x:v>
      </x:c>
      <x:c r="M16" s="16" t="str">
        <x:v>Prior tracker claimed complete. Unverified in reviewed checkout. Claimed evidence: docs/teaching-studio-day3.md. Attach commit, commands/results and reviewer before closing. Studio routes/canvas and cited day3 document were not found in reviewed application source; SQL files alone do not verify this gate.</x:v>
      </x:c>
    </x:row>
    <x:row r="17" ht="66" customHeight="1">
      <x:c r="A17" s="16" t="str">
        <x:v>Day 3</x:v>
      </x:c>
      <x:c r="B17" s="16" t="str">
        <x:v>Integrated Teaching Studio authoring foundation in the LMS</x:v>
      </x:c>
      <x:c r="C17" s="16" t="str">
        <x:v>Establish the complete shared foundation: protected LMS access, the authoring workspace and layouts, safe local data setup, and QA coverage.</x:v>
      </x:c>
      <x:c r="D17" s="16" t="str">
        <x:v>Teja</x:v>
      </x:c>
      <x:c r="E17" s="16" t="str">
        <x:v>QA</x:v>
      </x:c>
      <x:c r="F17" s="16" t="str">
        <x:v>QA — Run layout, viewport, route-access, build and browser checks.</x:v>
      </x:c>
      <x:c r="G17" s="16" t="str">
        <x:v>Executed test results and defect update for Integrated Teaching Studio authoring foundation in the LMS</x:v>
      </x:c>
      <x:c r="H17" s="16" t="str">
        <x:v>Planned tests are executed, and pass/fail evidence and defects are recorded.</x:v>
      </x:c>
      <x:c r="I17" s="16" t="str">
        <x:v>Role-based access works, the authoring workspace and layouts render, the local data foundation is usable, and QA has verified the combined flow.</x:v>
      </x:c>
      <x:c r="J17" s="16" t="str">
        <x:v>Needs verification</x:v>
      </x:c>
      <x:c r="K17" s="17" t="n">
        <x:v>0</x:v>
      </x:c>
      <x:c r="L17" s="16" t="str">
        <x:v>Days 1?2; confirm provisional LMS mapping before local implementation</x:v>
      </x:c>
      <x:c r="M17" s="16" t="str">
        <x:v>Prior tracker claimed complete. Unverified in reviewed checkout. Claimed evidence: docs/teaching-studio-day3.md. Attach commit, commands/results and reviewer before closing. Studio routes/canvas and cited day3 document were not found in reviewed application source; SQL files alone do not verify this gate.</x:v>
      </x:c>
    </x:row>
    <x:row r="18" ht="66" customHeight="1">
      <x:c r="A18" s="16" t="str">
        <x:v>Day 4</x:v>
      </x:c>
      <x:c r="B18" s="16" t="str">
        <x:v>Confirm existing LMS tenant and curriculum mapping</x:v>
      </x:c>
      <x:c r="C18" s="16" t="str">
        <x:v>Review and accept the mapping already present in Studio SQL, then resolve remaining identity, school and academic-scope gaps.</x:v>
      </x:c>
      <x:c r="D18" s="16" t="str">
        <x:v>Rahul</x:v>
      </x:c>
      <x:c r="E18" s="16" t="str">
        <x:v>Frontend</x:v>
      </x:c>
      <x:c r="F18" s="16" t="str">
        <x:v>Frontend ? Map existing programme/grade/subject/chapter/topic selectors and role navigation to the approved Studio contract.</x:v>
      </x:c>
      <x:c r="G18" s="16" t="str">
        <x:v>Working UI/component for Tenant and curriculum integration decision</x:v>
      </x:c>
      <x:c r="H18" s="16" t="str">
        <x:v>The UI works in the agreed flow and is ready for QA.</x:v>
      </x:c>
      <x:c r="I18" s="16" t="str">
        <x:v>One reviewed adapter contract maps client_id, optional school_id, integer LMS users and academic IDs; Author authority and platform-owned content behavior are explicit.</x:v>
      </x:c>
      <x:c r="J18" s="16" t="str">
        <x:v>Planned</x:v>
      </x:c>
      <x:c r="K18" s="17" t="n">
        <x:v>0</x:v>
      </x:c>
      <x:c r="L18" s="16" t="str">
        <x:v>Days 1?3 evidence; review existing SQL 001?004</x:v>
      </x:c>
      <x:c r="M18" s="16" t="str"/>
    </x:row>
    <x:row r="19" ht="66" customHeight="1">
      <x:c r="A19" s="16" t="str">
        <x:v>Day 4</x:v>
      </x:c>
      <x:c r="B19" s="16" t="str">
        <x:v>Confirm existing LMS tenant and curriculum mapping</x:v>
      </x:c>
      <x:c r="C19" s="16" t="str">
        <x:v>Review and accept the mapping already present in Studio SQL, then resolve remaining identity, school and academic-scope gaps.</x:v>
      </x:c>
      <x:c r="D19" s="16" t="str">
        <x:v>Poojitha</x:v>
      </x:c>
      <x:c r="E19" s="16" t="str">
        <x:v>Backend</x:v>
      </x:c>
      <x:c r="F19" s="16" t="str">
        <x:v>Backend ? Reuse existing JWT authentication, permission and entitlement services; map content_authorizer to scoped Author capabilities without granting blanket academic approval.</x:v>
      </x:c>
      <x:c r="G19" s="16" t="str">
        <x:v>Working API/service for Tenant and curriculum integration decision</x:v>
      </x:c>
      <x:c r="H19" s="16" t="str">
        <x:v>The service/API works with permissions and error handling and is ready for QA.</x:v>
      </x:c>
      <x:c r="I19" s="16" t="str">
        <x:v>One reviewed adapter contract maps client_id, optional school_id, integer LMS users and academic IDs; Author authority and platform-owned content behavior are explicit.</x:v>
      </x:c>
      <x:c r="J19" s="16" t="str">
        <x:v>Planned</x:v>
      </x:c>
      <x:c r="K19" s="17" t="n">
        <x:v>0</x:v>
      </x:c>
      <x:c r="L19" s="16" t="str">
        <x:v>Days 1?3 evidence; review existing SQL 001?004</x:v>
      </x:c>
      <x:c r="M19" s="16" t="str"/>
    </x:row>
    <x:row r="20" ht="66" customHeight="1">
      <x:c r="A20" s="16" t="str">
        <x:v>Day 4</x:v>
      </x:c>
      <x:c r="B20" s="16" t="str">
        <x:v>Confirm existing LMS tenant and curriculum mapping</x:v>
      </x:c>
      <x:c r="C20" s="16" t="str">
        <x:v>Review and accept the mapping already present in Studio SQL, then resolve remaining identity, school and academic-scope gaps.</x:v>
      </x:c>
      <x:c r="D20" s="16" t="str">
        <x:v>Dhanunjaya</x:v>
      </x:c>
      <x:c r="E20" s="16" t="str">
        <x:v>Database</x:v>
      </x:c>
      <x:c r="F20" s="16" t="str">
        <x:v>Database ? Review existing Studio client/user/program/curriculum foreign keys and tenant constraints; document any required migration changes.</x:v>
      </x:c>
      <x:c r="G20" s="16" t="str">
        <x:v>Reviewed schema, migration or data change for Tenant and curriculum integration decision</x:v>
      </x:c>
      <x:c r="H20" s="16" t="str">
        <x:v>The schema/query change runs locally, preserves integrity and is ready for QA.</x:v>
      </x:c>
      <x:c r="I20" s="16" t="str">
        <x:v>One reviewed adapter contract maps client_id, optional school_id, integer LMS users and academic IDs; Author authority and platform-owned content behavior are explicit.</x:v>
      </x:c>
      <x:c r="J20" s="16" t="str">
        <x:v>Planned</x:v>
      </x:c>
      <x:c r="K20" s="17" t="n">
        <x:v>0</x:v>
      </x:c>
      <x:c r="L20" s="16" t="str">
        <x:v>Days 1?3 evidence; review existing SQL 001?004</x:v>
      </x:c>
      <x:c r="M20" s="16" t="str"/>
    </x:row>
    <x:row r="21" ht="66" customHeight="1">
      <x:c r="A21" s="16" t="str">
        <x:v>Day 4</x:v>
      </x:c>
      <x:c r="B21" s="16" t="str">
        <x:v>Confirm existing LMS tenant and curriculum mapping</x:v>
      </x:c>
      <x:c r="C21" s="16" t="str">
        <x:v>Review and accept the mapping already present in Studio SQL, then resolve remaining identity, school and academic-scope gaps.</x:v>
      </x:c>
      <x:c r="D21" s="16" t="str">
        <x:v>Teja</x:v>
      </x:c>
      <x:c r="E21" s="16" t="str">
        <x:v>QA</x:v>
      </x:c>
      <x:c r="F21" s="16" t="str">
        <x:v>QA — Check the proposed mapping against cross-tenant, role and academic-scope scenarios.</x:v>
      </x:c>
      <x:c r="G21" s="16" t="str">
        <x:v>Executed test results and defect update for Tenant and curriculum integration decision</x:v>
      </x:c>
      <x:c r="H21" s="16" t="str">
        <x:v>Planned tests are executed, and pass/fail evidence and defects are recorded.</x:v>
      </x:c>
      <x:c r="I21" s="16" t="str">
        <x:v>One reviewed adapter contract maps client_id, optional school_id, integer LMS users and academic IDs; Author authority and platform-owned content behavior are explicit.</x:v>
      </x:c>
      <x:c r="J21" s="16" t="str">
        <x:v>Planned</x:v>
      </x:c>
      <x:c r="K21" s="17" t="n">
        <x:v>0</x:v>
      </x:c>
      <x:c r="L21" s="16" t="str">
        <x:v>Days 1?3 evidence; review existing SQL 001?004</x:v>
      </x:c>
      <x:c r="M21" s="16" t="str"/>
    </x:row>
    <x:row r="22" ht="66" customHeight="1">
      <x:c r="A22" s="16" t="str">
        <x:v>Day 5</x:v>
      </x:c>
      <x:c r="B22" s="16" t="str">
        <x:v>Lesson, session and screen contract</x:v>
      </x:c>
      <x:c r="C22" s="16" t="str">
        <x:v>Define exactly what the Author creates and what the LMS stores.</x:v>
      </x:c>
      <x:c r="D22" s="16" t="str">
        <x:v>Rahul</x:v>
      </x:c>
      <x:c r="E22" s="16" t="str">
        <x:v>Database</x:v>
      </x:c>
      <x:c r="F22" s="16" t="str">
        <x:v>Database — Define lesson, session, screen, objective and ordering relationships.</x:v>
      </x:c>
      <x:c r="G22" s="16" t="str">
        <x:v>Reviewed lesson/session/screen/object contract for Database</x:v>
      </x:c>
      <x:c r="H22" s="16" t="str">
        <x:v>UI fields, service commands, existing/new tables, validation, revision handling and permission boundaries agree; implementation follows on Days 6?8.</x:v>
      </x:c>
      <x:c r="I22" s="16" t="str">
        <x:v>One reviewed contract covers UI fields, APIs, tables and validation.</x:v>
      </x:c>
      <x:c r="J22" s="16" t="str">
        <x:v>Planned</x:v>
      </x:c>
      <x:c r="K22" s="17" t="n">
        <x:v>0</x:v>
      </x:c>
      <x:c r="L22" s="16" t="str">
        <x:v>Day 4</x:v>
      </x:c>
      <x:c r="M22" s="16" t="str"/>
    </x:row>
    <x:row r="23" ht="66" customHeight="1">
      <x:c r="A23" s="16" t="str">
        <x:v>Day 5</x:v>
      </x:c>
      <x:c r="B23" s="16" t="str">
        <x:v>Lesson, session and screen contract</x:v>
      </x:c>
      <x:c r="C23" s="16" t="str">
        <x:v>Define exactly what the Author creates and what the LMS stores.</x:v>
      </x:c>
      <x:c r="D23" s="16" t="str">
        <x:v>Poojitha</x:v>
      </x:c>
      <x:c r="E23" s="16" t="str">
        <x:v>Frontend</x:v>
      </x:c>
      <x:c r="F23" s="16" t="str">
        <x:v>Frontend — Define the lesson setup and screen-list fields shown to the Author.</x:v>
      </x:c>
      <x:c r="G23" s="16" t="str">
        <x:v>Reviewed lesson/session/screen/object contract for Frontend</x:v>
      </x:c>
      <x:c r="H23" s="16" t="str">
        <x:v>UI fields, service commands, existing/new tables, validation, revision handling and permission boundaries agree; implementation follows on Days 6?8.</x:v>
      </x:c>
      <x:c r="I23" s="16" t="str">
        <x:v>One reviewed contract covers UI fields, APIs, tables and validation.</x:v>
      </x:c>
      <x:c r="J23" s="16" t="str">
        <x:v>Planned</x:v>
      </x:c>
      <x:c r="K23" s="17" t="n">
        <x:v>0</x:v>
      </x:c>
      <x:c r="L23" s="16" t="str">
        <x:v>Day 4</x:v>
      </x:c>
      <x:c r="M23" s="16" t="str"/>
    </x:row>
    <x:row r="24" ht="66" customHeight="1">
      <x:c r="A24" s="16" t="str">
        <x:v>Day 5</x:v>
      </x:c>
      <x:c r="B24" s="16" t="str">
        <x:v>Lesson, session and screen contract</x:v>
      </x:c>
      <x:c r="C24" s="16" t="str">
        <x:v>Define exactly what the Author creates and what the LMS stores.</x:v>
      </x:c>
      <x:c r="D24" s="16" t="str">
        <x:v>Dhanunjaya</x:v>
      </x:c>
      <x:c r="E24" s="16" t="str">
        <x:v>Backend</x:v>
      </x:c>
      <x:c r="F24" s="16" t="str">
        <x:v>Backend — Define create, read, update, reorder and validation API contracts.</x:v>
      </x:c>
      <x:c r="G24" s="16" t="str">
        <x:v>Reviewed lesson/session/screen/object contract for Backend</x:v>
      </x:c>
      <x:c r="H24" s="16" t="str">
        <x:v>UI fields, service commands, existing/new tables, validation, revision handling and permission boundaries agree; implementation follows on Days 6?8.</x:v>
      </x:c>
      <x:c r="I24" s="16" t="str">
        <x:v>One reviewed contract covers UI fields, APIs, tables and validation.</x:v>
      </x:c>
      <x:c r="J24" s="16" t="str">
        <x:v>Planned</x:v>
      </x:c>
      <x:c r="K24" s="17" t="n">
        <x:v>0</x:v>
      </x:c>
      <x:c r="L24" s="16" t="str">
        <x:v>Day 4</x:v>
      </x:c>
      <x:c r="M24" s="16" t="str"/>
    </x:row>
    <x:row r="25" ht="66" customHeight="1">
      <x:c r="A25" s="16" t="str">
        <x:v>Day 5</x:v>
      </x:c>
      <x:c r="B25" s="16" t="str">
        <x:v>Lesson, session and screen contract</x:v>
      </x:c>
      <x:c r="C25" s="16" t="str">
        <x:v>Define exactly what the Author creates and what the LMS stores.</x:v>
      </x:c>
      <x:c r="D25" s="16" t="str">
        <x:v>Teja</x:v>
      </x:c>
      <x:c r="E25" s="16" t="str">
        <x:v>QA</x:v>
      </x:c>
      <x:c r="F25" s="16" t="str">
        <x:v>QA — Write happy-path, invalid-input and permission acceptance cases.</x:v>
      </x:c>
      <x:c r="G25" s="16" t="str">
        <x:v>Reviewed lesson/session/screen/object contract for QA</x:v>
      </x:c>
      <x:c r="H25" s="16" t="str">
        <x:v>UI fields, service commands, existing/new tables, validation, revision handling and permission boundaries agree; implementation follows on Days 6?8.</x:v>
      </x:c>
      <x:c r="I25" s="16" t="str">
        <x:v>One reviewed contract covers UI fields, APIs, tables and validation.</x:v>
      </x:c>
      <x:c r="J25" s="16" t="str">
        <x:v>Planned</x:v>
      </x:c>
      <x:c r="K25" s="17" t="n">
        <x:v>0</x:v>
      </x:c>
      <x:c r="L25" s="16" t="str">
        <x:v>Day 4</x:v>
      </x:c>
      <x:c r="M25" s="16" t="str"/>
    </x:row>
    <x:row r="26" ht="66" customHeight="1">
      <x:c r="A26" s="16" t="str">
        <x:v>Day 6</x:v>
      </x:c>
      <x:c r="B26" s="16" t="str">
        <x:v>Studio persistence migration</x:v>
      </x:c>
      <x:c r="C26" s="16" t="str">
        <x:v>Validate and extend existing Studio SQL scripts 001?004 against a clean isolated PostgreSQL/Supabase database.</x:v>
      </x:c>
      <x:c r="D26" s="16" t="str">
        <x:v>Rahul</x:v>
      </x:c>
      <x:c r="E26" s="16" t="str">
        <x:v>Backend</x:v>
      </x:c>
      <x:c r="F26" s="16" t="str">
        <x:v>Backend — Add migration execution and service bootstrap needed by Studio.</x:v>
      </x:c>
      <x:c r="G26" s="16" t="str">
        <x:v>Working API/service for Studio persistence migration</x:v>
      </x:c>
      <x:c r="H26" s="16" t="str">
        <x:v>The service/API works with permissions and error handling and is ready for QA.</x:v>
      </x:c>
      <x:c r="I26" s="16" t="str">
        <x:v>Existing SQL plus reviewed changes run from a clean local database; tenant constraints, seed prerequisites and recovery are evidenced. No hosted production writes.</x:v>
      </x:c>
      <x:c r="J26" s="16" t="str">
        <x:v>Planned</x:v>
      </x:c>
      <x:c r="K26" s="17" t="n">
        <x:v>0</x:v>
      </x:c>
      <x:c r="L26" s="16" t="str">
        <x:v>Day 5</x:v>
      </x:c>
      <x:c r="M26" s="16" t="str"/>
    </x:row>
    <x:row r="27" ht="66" customHeight="1">
      <x:c r="A27" s="16" t="str">
        <x:v>Day 6</x:v>
      </x:c>
      <x:c r="B27" s="16" t="str">
        <x:v>Studio persistence migration</x:v>
      </x:c>
      <x:c r="C27" s="16" t="str">
        <x:v>Validate and extend existing Studio SQL scripts 001?004 against a clean isolated PostgreSQL/Supabase database.</x:v>
      </x:c>
      <x:c r="D27" s="16" t="str">
        <x:v>Poojitha</x:v>
      </x:c>
      <x:c r="E27" s="16" t="str">
        <x:v>Database</x:v>
      </x:c>
      <x:c r="F27" s="16" t="str">
        <x:v>Database ? Reuse and review SQL 001?004; add only missing LMS-aligned persistence changes, with clean migration and integrity checks.</x:v>
      </x:c>
      <x:c r="G27" s="16" t="str">
        <x:v>Reviewed schema, migration or data change for Studio persistence migration</x:v>
      </x:c>
      <x:c r="H27" s="16" t="str">
        <x:v>The schema/query change runs locally, preserves integrity and is ready for QA.</x:v>
      </x:c>
      <x:c r="I27" s="16" t="str">
        <x:v>Existing SQL plus reviewed changes run from a clean local database; tenant constraints, seed prerequisites and recovery are evidenced. No hosted production writes.</x:v>
      </x:c>
      <x:c r="J27" s="16" t="str">
        <x:v>Planned</x:v>
      </x:c>
      <x:c r="K27" s="17" t="n">
        <x:v>0</x:v>
      </x:c>
      <x:c r="L27" s="16" t="str">
        <x:v>Day 5</x:v>
      </x:c>
      <x:c r="M27" s="16" t="str"/>
    </x:row>
    <x:row r="28" ht="66" customHeight="1">
      <x:c r="A28" s="16" t="str">
        <x:v>Day 6</x:v>
      </x:c>
      <x:c r="B28" s="16" t="str">
        <x:v>Studio persistence migration</x:v>
      </x:c>
      <x:c r="C28" s="16" t="str">
        <x:v>Validate and extend existing Studio SQL scripts 001?004 against a clean isolated PostgreSQL/Supabase database.</x:v>
      </x:c>
      <x:c r="D28" s="16" t="str">
        <x:v>Dhanunjaya</x:v>
      </x:c>
      <x:c r="E28" s="16" t="str">
        <x:v>Frontend</x:v>
      </x:c>
      <x:c r="F28" s="16" t="str">
        <x:v>Frontend — Update frontend types and mock data to match the approved contract.</x:v>
      </x:c>
      <x:c r="G28" s="16" t="str">
        <x:v>Working UI/component for Studio persistence migration</x:v>
      </x:c>
      <x:c r="H28" s="16" t="str">
        <x:v>The UI works in the agreed flow and is ready for QA.</x:v>
      </x:c>
      <x:c r="I28" s="16" t="str">
        <x:v>Existing SQL plus reviewed changes run from a clean local database; tenant constraints, seed prerequisites and recovery are evidenced. No hosted production writes.</x:v>
      </x:c>
      <x:c r="J28" s="16" t="str">
        <x:v>Planned</x:v>
      </x:c>
      <x:c r="K28" s="17" t="n">
        <x:v>0</x:v>
      </x:c>
      <x:c r="L28" s="16" t="str">
        <x:v>Day 5</x:v>
      </x:c>
      <x:c r="M28" s="16" t="str"/>
    </x:row>
    <x:row r="29" ht="66" customHeight="1">
      <x:c r="A29" s="16" t="str">
        <x:v>Day 6</x:v>
      </x:c>
      <x:c r="B29" s="16" t="str">
        <x:v>Studio persistence migration</x:v>
      </x:c>
      <x:c r="C29" s="16" t="str">
        <x:v>Validate and extend existing Studio SQL scripts 001?004 against a clean isolated PostgreSQL/Supabase database.</x:v>
      </x:c>
      <x:c r="D29" s="16" t="str">
        <x:v>Teja</x:v>
      </x:c>
      <x:c r="E29" s="16" t="str">
        <x:v>QA</x:v>
      </x:c>
      <x:c r="F29" s="16" t="str">
        <x:v>QA — Run the migration repeatedly in local Supabase and verify clean rollback/reset.</x:v>
      </x:c>
      <x:c r="G29" s="16" t="str">
        <x:v>Executed test results and defect update for Studio persistence migration</x:v>
      </x:c>
      <x:c r="H29" s="16" t="str">
        <x:v>Planned tests are executed, and pass/fail evidence and defects are recorded.</x:v>
      </x:c>
      <x:c r="I29" s="16" t="str">
        <x:v>Existing SQL plus reviewed changes run from a clean local database; tenant constraints, seed prerequisites and recovery are evidenced. No hosted production writes.</x:v>
      </x:c>
      <x:c r="J29" s="16" t="str">
        <x:v>Planned</x:v>
      </x:c>
      <x:c r="K29" s="17" t="n">
        <x:v>0</x:v>
      </x:c>
      <x:c r="L29" s="16" t="str">
        <x:v>Day 5</x:v>
      </x:c>
      <x:c r="M29" s="16" t="str"/>
    </x:row>
    <x:row r="30" ht="66" customHeight="1">
      <x:c r="A30" s="16" t="str">
        <x:v>Day 7</x:v>
      </x:c>
      <x:c r="B30" s="16" t="str">
        <x:v>Lesson and session APIs</x:v>
      </x:c>
      <x:c r="C30" s="16" t="str">
        <x:v>Allow an Author to create and update a scoped lesson and its sessions.</x:v>
      </x:c>
      <x:c r="D30" s="16" t="str">
        <x:v>Rahul</x:v>
      </x:c>
      <x:c r="E30" s="16" t="str">
        <x:v>Frontend</x:v>
      </x:c>
      <x:c r="F30" s="16" t="str">
        <x:v>Frontend — Build the lesson/session setup form and visible validation messages.</x:v>
      </x:c>
      <x:c r="G30" s="16" t="str">
        <x:v>Working UI/component for Lesson and session APIs</x:v>
      </x:c>
      <x:c r="H30" s="16" t="str">
        <x:v>The UI works in the agreed flow and is ready for QA.</x:v>
      </x:c>
      <x:c r="I30" s="16" t="str">
        <x:v>An authorized Author can save and reload a lesson/session; invalid access is rejected.</x:v>
      </x:c>
      <x:c r="J30" s="16" t="str">
        <x:v>Planned</x:v>
      </x:c>
      <x:c r="K30" s="17" t="n">
        <x:v>0</x:v>
      </x:c>
      <x:c r="L30" s="16" t="str">
        <x:v>Day 6</x:v>
      </x:c>
      <x:c r="M30" s="16" t="str"/>
    </x:row>
    <x:row r="31" ht="66" customHeight="1">
      <x:c r="A31" s="16" t="str">
        <x:v>Day 7</x:v>
      </x:c>
      <x:c r="B31" s="16" t="str">
        <x:v>Lesson and session APIs</x:v>
      </x:c>
      <x:c r="C31" s="16" t="str">
        <x:v>Allow an Author to create and update a scoped lesson and its sessions.</x:v>
      </x:c>
      <x:c r="D31" s="16" t="str">
        <x:v>Poojitha</x:v>
      </x:c>
      <x:c r="E31" s="16" t="str">
        <x:v>Backend</x:v>
      </x:c>
      <x:c r="F31" s="16" t="str">
        <x:v>Backend — Implement scoped lesson and session CRUD services and routes.</x:v>
      </x:c>
      <x:c r="G31" s="16" t="str">
        <x:v>Working API/service for Lesson and session APIs</x:v>
      </x:c>
      <x:c r="H31" s="16" t="str">
        <x:v>The service/API works with permissions and error handling and is ready for QA.</x:v>
      </x:c>
      <x:c r="I31" s="16" t="str">
        <x:v>An authorized Author can save and reload a lesson/session; invalid access is rejected.</x:v>
      </x:c>
      <x:c r="J31" s="16" t="str">
        <x:v>Planned</x:v>
      </x:c>
      <x:c r="K31" s="17" t="n">
        <x:v>0</x:v>
      </x:c>
      <x:c r="L31" s="16" t="str">
        <x:v>Day 6</x:v>
      </x:c>
      <x:c r="M31" s="16" t="str"/>
    </x:row>
    <x:row r="32" ht="66" customHeight="1">
      <x:c r="A32" s="16" t="str">
        <x:v>Day 7</x:v>
      </x:c>
      <x:c r="B32" s="16" t="str">
        <x:v>Lesson and session APIs</x:v>
      </x:c>
      <x:c r="C32" s="16" t="str">
        <x:v>Allow an Author to create and update a scoped lesson and its sessions.</x:v>
      </x:c>
      <x:c r="D32" s="16" t="str">
        <x:v>Dhanunjaya</x:v>
      </x:c>
      <x:c r="E32" s="16" t="str">
        <x:v>Database</x:v>
      </x:c>
      <x:c r="F32" s="16" t="str">
        <x:v>Database — Implement repository queries, relationships and useful indexes.</x:v>
      </x:c>
      <x:c r="G32" s="16" t="str">
        <x:v>Reviewed schema, migration or data change for Lesson and session APIs</x:v>
      </x:c>
      <x:c r="H32" s="16" t="str">
        <x:v>The schema/query change runs locally, preserves integrity and is ready for QA.</x:v>
      </x:c>
      <x:c r="I32" s="16" t="str">
        <x:v>An authorized Author can save and reload a lesson/session; invalid access is rejected.</x:v>
      </x:c>
      <x:c r="J32" s="16" t="str">
        <x:v>Planned</x:v>
      </x:c>
      <x:c r="K32" s="17" t="n">
        <x:v>0</x:v>
      </x:c>
      <x:c r="L32" s="16" t="str">
        <x:v>Day 6</x:v>
      </x:c>
      <x:c r="M32" s="16" t="str"/>
    </x:row>
    <x:row r="33" ht="66" customHeight="1">
      <x:c r="A33" s="16" t="str">
        <x:v>Day 7</x:v>
      </x:c>
      <x:c r="B33" s="16" t="str">
        <x:v>Lesson and session APIs</x:v>
      </x:c>
      <x:c r="C33" s="16" t="str">
        <x:v>Allow an Author to create and update a scoped lesson and its sessions.</x:v>
      </x:c>
      <x:c r="D33" s="16" t="str">
        <x:v>Teja</x:v>
      </x:c>
      <x:c r="E33" s="16" t="str">
        <x:v>QA</x:v>
      </x:c>
      <x:c r="F33" s="16" t="str">
        <x:v>QA — Test create, edit, invalid duration, unauthorized access and tenant isolation.</x:v>
      </x:c>
      <x:c r="G33" s="16" t="str">
        <x:v>Executed test results and defect update for Lesson and session APIs</x:v>
      </x:c>
      <x:c r="H33" s="16" t="str">
        <x:v>Planned tests are executed, and pass/fail evidence and defects are recorded.</x:v>
      </x:c>
      <x:c r="I33" s="16" t="str">
        <x:v>An authorized Author can save and reload a lesson/session; invalid access is rejected.</x:v>
      </x:c>
      <x:c r="J33" s="16" t="str">
        <x:v>Planned</x:v>
      </x:c>
      <x:c r="K33" s="17" t="n">
        <x:v>0</x:v>
      </x:c>
      <x:c r="L33" s="16" t="str">
        <x:v>Day 6</x:v>
      </x:c>
      <x:c r="M33" s="16" t="str"/>
    </x:row>
    <x:row r="34" ht="66" customHeight="1">
      <x:c r="A34" s="16" t="str">
        <x:v>Day 8</x:v>
      </x:c>
      <x:c r="B34" s="16" t="str">
        <x:v>Screen and object APIs</x:v>
      </x:c>
      <x:c r="C34" s="16" t="str">
        <x:v>Save ordered screens and structured objects for a lesson.</x:v>
      </x:c>
      <x:c r="D34" s="16" t="str">
        <x:v>Rahul</x:v>
      </x:c>
      <x:c r="E34" s="16" t="str">
        <x:v>Database</x:v>
      </x:c>
      <x:c r="F34" s="16" t="str">
        <x:v>Database — Implement ordering, object payload and revision persistence.</x:v>
      </x:c>
      <x:c r="G34" s="16" t="str">
        <x:v>Reviewed schema, migration or data change for Screen and object APIs</x:v>
      </x:c>
      <x:c r="H34" s="16" t="str">
        <x:v>The schema/query change runs locally, preserves integrity and is ready for QA.</x:v>
      </x:c>
      <x:c r="I34" s="16" t="str">
        <x:v>Screens and objects round-trip in the correct order with scope checks.</x:v>
      </x:c>
      <x:c r="J34" s="16" t="str">
        <x:v>Planned</x:v>
      </x:c>
      <x:c r="K34" s="17" t="n">
        <x:v>0</x:v>
      </x:c>
      <x:c r="L34" s="16" t="str">
        <x:v>Day 7</x:v>
      </x:c>
      <x:c r="M34" s="16" t="str"/>
    </x:row>
    <x:row r="35" ht="66" customHeight="1">
      <x:c r="A35" s="16" t="str">
        <x:v>Day 8</x:v>
      </x:c>
      <x:c r="B35" s="16" t="str">
        <x:v>Screen and object APIs</x:v>
      </x:c>
      <x:c r="C35" s="16" t="str">
        <x:v>Save ordered screens and structured objects for a lesson.</x:v>
      </x:c>
      <x:c r="D35" s="16" t="str">
        <x:v>Poojitha</x:v>
      </x:c>
      <x:c r="E35" s="16" t="str">
        <x:v>Frontend</x:v>
      </x:c>
      <x:c r="F35" s="16" t="str">
        <x:v>Frontend — Connect screen creation and object placeholders to API data.</x:v>
      </x:c>
      <x:c r="G35" s="16" t="str">
        <x:v>Working UI/component for Screen and object APIs</x:v>
      </x:c>
      <x:c r="H35" s="16" t="str">
        <x:v>The UI works in the agreed flow and is ready for QA.</x:v>
      </x:c>
      <x:c r="I35" s="16" t="str">
        <x:v>Screens and objects round-trip in the correct order with scope checks.</x:v>
      </x:c>
      <x:c r="J35" s="16" t="str">
        <x:v>Planned</x:v>
      </x:c>
      <x:c r="K35" s="17" t="n">
        <x:v>0</x:v>
      </x:c>
      <x:c r="L35" s="16" t="str">
        <x:v>Day 7</x:v>
      </x:c>
      <x:c r="M35" s="16" t="str"/>
    </x:row>
    <x:row r="36" ht="66" customHeight="1">
      <x:c r="A36" s="16" t="str">
        <x:v>Day 8</x:v>
      </x:c>
      <x:c r="B36" s="16" t="str">
        <x:v>Screen and object APIs</x:v>
      </x:c>
      <x:c r="C36" s="16" t="str">
        <x:v>Save ordered screens and structured objects for a lesson.</x:v>
      </x:c>
      <x:c r="D36" s="16" t="str">
        <x:v>Dhanunjaya</x:v>
      </x:c>
      <x:c r="E36" s="16" t="str">
        <x:v>Backend</x:v>
      </x:c>
      <x:c r="F36" s="16" t="str">
        <x:v>Backend — Implement screen/object create, edit, delete and reorder endpoints.</x:v>
      </x:c>
      <x:c r="G36" s="16" t="str">
        <x:v>Working API/service for Screen and object APIs</x:v>
      </x:c>
      <x:c r="H36" s="16" t="str">
        <x:v>The service/API works with permissions and error handling and is ready for QA.</x:v>
      </x:c>
      <x:c r="I36" s="16" t="str">
        <x:v>Screens and objects round-trip in the correct order with scope checks.</x:v>
      </x:c>
      <x:c r="J36" s="16" t="str">
        <x:v>Planned</x:v>
      </x:c>
      <x:c r="K36" s="17" t="n">
        <x:v>0</x:v>
      </x:c>
      <x:c r="L36" s="16" t="str">
        <x:v>Day 7</x:v>
      </x:c>
      <x:c r="M36" s="16" t="str"/>
    </x:row>
    <x:row r="37" ht="66" customHeight="1">
      <x:c r="A37" s="16" t="str">
        <x:v>Day 8</x:v>
      </x:c>
      <x:c r="B37" s="16" t="str">
        <x:v>Screen and object APIs</x:v>
      </x:c>
      <x:c r="C37" s="16" t="str">
        <x:v>Save ordered screens and structured objects for a lesson.</x:v>
      </x:c>
      <x:c r="D37" s="16" t="str">
        <x:v>Teja</x:v>
      </x:c>
      <x:c r="E37" s="16" t="str">
        <x:v>QA</x:v>
      </x:c>
      <x:c r="F37" s="16" t="str">
        <x:v>QA — Test ordering, invalid object types, payload privacy and direct-role denial.</x:v>
      </x:c>
      <x:c r="G37" s="16" t="str">
        <x:v>Executed test results and defect update for Screen and object APIs</x:v>
      </x:c>
      <x:c r="H37" s="16" t="str">
        <x:v>Planned tests are executed, and pass/fail evidence and defects are recorded.</x:v>
      </x:c>
      <x:c r="I37" s="16" t="str">
        <x:v>Screens and objects round-trip in the correct order with scope checks.</x:v>
      </x:c>
      <x:c r="J37" s="16" t="str">
        <x:v>Planned</x:v>
      </x:c>
      <x:c r="K37" s="17" t="n">
        <x:v>0</x:v>
      </x:c>
      <x:c r="L37" s="16" t="str">
        <x:v>Day 7</x:v>
      </x:c>
      <x:c r="M37" s="16" t="str"/>
    </x:row>
    <x:row r="38" ht="66" customHeight="1">
      <x:c r="A38" s="16" t="str">
        <x:v>Day 9</x:v>
      </x:c>
      <x:c r="B38" s="16" t="str">
        <x:v>Persisted canvas integration</x:v>
      </x:c>
      <x:c r="C38" s="16" t="str">
        <x:v>Display saved lesson screens on the existing canvas.</x:v>
      </x:c>
      <x:c r="D38" s="16" t="str">
        <x:v>Rahul</x:v>
      </x:c>
      <x:c r="E38" s="16" t="str">
        <x:v>Backend</x:v>
      </x:c>
      <x:c r="F38" s="16" t="str">
        <x:v>Backend — Handle save errors, conflicts and stable screen identity.</x:v>
      </x:c>
      <x:c r="G38" s="16" t="str">
        <x:v>Working API/service for Persisted canvas integration</x:v>
      </x:c>
      <x:c r="H38" s="16" t="str">
        <x:v>The service/API works with permissions and error handling and is ready for QA.</x:v>
      </x:c>
      <x:c r="I38" s="16" t="str">
        <x:v>A saved draft screen reloads with the same layout, objects and identity.</x:v>
      </x:c>
      <x:c r="J38" s="16" t="str">
        <x:v>Planned</x:v>
      </x:c>
      <x:c r="K38" s="17" t="n">
        <x:v>0</x:v>
      </x:c>
      <x:c r="L38" s="16" t="str">
        <x:v>Day 8</x:v>
      </x:c>
      <x:c r="M38" s="16" t="str"/>
    </x:row>
    <x:row r="39" ht="66" customHeight="1">
      <x:c r="A39" s="16" t="str">
        <x:v>Day 9</x:v>
      </x:c>
      <x:c r="B39" s="16" t="str">
        <x:v>Persisted canvas integration</x:v>
      </x:c>
      <x:c r="C39" s="16" t="str">
        <x:v>Display saved lesson screens on the existing canvas.</x:v>
      </x:c>
      <x:c r="D39" s="16" t="str">
        <x:v>Poojitha</x:v>
      </x:c>
      <x:c r="E39" s="16" t="str">
        <x:v>Database</x:v>
      </x:c>
      <x:c r="F39" s="16" t="str">
        <x:v>Database — Create representative local draft data for integration verification.</x:v>
      </x:c>
      <x:c r="G39" s="16" t="str">
        <x:v>Reviewed schema, migration or data change for Persisted canvas integration</x:v>
      </x:c>
      <x:c r="H39" s="16" t="str">
        <x:v>The schema/query change runs locally, preserves integrity and is ready for QA.</x:v>
      </x:c>
      <x:c r="I39" s="16" t="str">
        <x:v>A saved draft screen reloads with the same layout, objects and identity.</x:v>
      </x:c>
      <x:c r="J39" s="16" t="str">
        <x:v>Planned</x:v>
      </x:c>
      <x:c r="K39" s="17" t="n">
        <x:v>0</x:v>
      </x:c>
      <x:c r="L39" s="16" t="str">
        <x:v>Day 8</x:v>
      </x:c>
      <x:c r="M39" s="16" t="str"/>
    </x:row>
    <x:row r="40" ht="66" customHeight="1">
      <x:c r="A40" s="16" t="str">
        <x:v>Day 9</x:v>
      </x:c>
      <x:c r="B40" s="16" t="str">
        <x:v>Persisted canvas integration</x:v>
      </x:c>
      <x:c r="C40" s="16" t="str">
        <x:v>Display saved lesson screens on the existing canvas.</x:v>
      </x:c>
      <x:c r="D40" s="16" t="str">
        <x:v>Dhanunjaya</x:v>
      </x:c>
      <x:c r="E40" s="16" t="str">
        <x:v>Frontend</x:v>
      </x:c>
      <x:c r="F40" s="16" t="str">
        <x:v>Frontend — Load saved screens into the canvas and save the selected layout.</x:v>
      </x:c>
      <x:c r="G40" s="16" t="str">
        <x:v>Working UI/component for Persisted canvas integration</x:v>
      </x:c>
      <x:c r="H40" s="16" t="str">
        <x:v>The UI works in the agreed flow and is ready for QA.</x:v>
      </x:c>
      <x:c r="I40" s="16" t="str">
        <x:v>A saved draft screen reloads with the same layout, objects and identity.</x:v>
      </x:c>
      <x:c r="J40" s="16" t="str">
        <x:v>Planned</x:v>
      </x:c>
      <x:c r="K40" s="17" t="n">
        <x:v>0</x:v>
      </x:c>
      <x:c r="L40" s="16" t="str">
        <x:v>Day 8</x:v>
      </x:c>
      <x:c r="M40" s="16" t="str"/>
    </x:row>
    <x:row r="41" ht="66" customHeight="1">
      <x:c r="A41" s="16" t="str">
        <x:v>Day 9</x:v>
      </x:c>
      <x:c r="B41" s="16" t="str">
        <x:v>Persisted canvas integration</x:v>
      </x:c>
      <x:c r="C41" s="16" t="str">
        <x:v>Display saved lesson screens on the existing canvas.</x:v>
      </x:c>
      <x:c r="D41" s="16" t="str">
        <x:v>Teja</x:v>
      </x:c>
      <x:c r="E41" s="16" t="str">
        <x:v>QA</x:v>
      </x:c>
      <x:c r="F41" s="16" t="str">
        <x:v>QA — Verify save, reload, layout retention and error recovery.</x:v>
      </x:c>
      <x:c r="G41" s="16" t="str">
        <x:v>Executed test results and defect update for Persisted canvas integration</x:v>
      </x:c>
      <x:c r="H41" s="16" t="str">
        <x:v>Planned tests are executed, and pass/fail evidence and defects are recorded.</x:v>
      </x:c>
      <x:c r="I41" s="16" t="str">
        <x:v>A saved draft screen reloads with the same layout, objects and identity.</x:v>
      </x:c>
      <x:c r="J41" s="16" t="str">
        <x:v>Planned</x:v>
      </x:c>
      <x:c r="K41" s="17" t="n">
        <x:v>0</x:v>
      </x:c>
      <x:c r="L41" s="16" t="str">
        <x:v>Day 8</x:v>
      </x:c>
      <x:c r="M41" s="16" t="str"/>
    </x:row>
    <x:row r="42" ht="66" customHeight="1">
      <x:c r="A42" s="16" t="str">
        <x:v>Day 10</x:v>
      </x:c>
      <x:c r="B42" s="16" t="str">
        <x:v>Foundation integration review</x:v>
      </x:c>
      <x:c r="C42" s="16" t="str">
        <x:v>Confirm the LMS integration foundation is stable before Author features expand.</x:v>
      </x:c>
      <x:c r="D42" s="16" t="str">
        <x:v>Rahul</x:v>
      </x:c>
      <x:c r="E42" s="16" t="str">
        <x:v>Frontend</x:v>
      </x:c>
      <x:c r="F42" s="16" t="str">
        <x:v>Frontend — Fix the highest-priority route, form, canvas and responsive issues.</x:v>
      </x:c>
      <x:c r="G42" s="16" t="str">
        <x:v>Working UI/component for Foundation integration review</x:v>
      </x:c>
      <x:c r="H42" s="16" t="str">
        <x:v>The UI works in the agreed flow and is ready for QA.</x:v>
      </x:c>
      <x:c r="I42" s="16" t="str">
        <x:v>The lesson-to-persisted-screen flow passes with no critical open defect.</x:v>
      </x:c>
      <x:c r="J42" s="16" t="str">
        <x:v>Planned</x:v>
      </x:c>
      <x:c r="K42" s="17" t="n">
        <x:v>0</x:v>
      </x:c>
      <x:c r="L42" s="16" t="str">
        <x:v>Days 6–9</x:v>
      </x:c>
      <x:c r="M42" s="16" t="str"/>
    </x:row>
    <x:row r="43" ht="66" customHeight="1">
      <x:c r="A43" s="16" t="str">
        <x:v>Day 10</x:v>
      </x:c>
      <x:c r="B43" s="16" t="str">
        <x:v>Foundation integration review</x:v>
      </x:c>
      <x:c r="C43" s="16" t="str">
        <x:v>Confirm the LMS integration foundation is stable before Author features expand.</x:v>
      </x:c>
      <x:c r="D43" s="16" t="str">
        <x:v>Poojitha</x:v>
      </x:c>
      <x:c r="E43" s="16" t="str">
        <x:v>Backend</x:v>
      </x:c>
      <x:c r="F43" s="16" t="str">
        <x:v>Backend — Fix the highest-priority API, permission and error-envelope issues.</x:v>
      </x:c>
      <x:c r="G43" s="16" t="str">
        <x:v>Working API/service for Foundation integration review</x:v>
      </x:c>
      <x:c r="H43" s="16" t="str">
        <x:v>The service/API works with permissions and error handling and is ready for QA.</x:v>
      </x:c>
      <x:c r="I43" s="16" t="str">
        <x:v>The lesson-to-persisted-screen flow passes with no critical open defect.</x:v>
      </x:c>
      <x:c r="J43" s="16" t="str">
        <x:v>Planned</x:v>
      </x:c>
      <x:c r="K43" s="17" t="n">
        <x:v>0</x:v>
      </x:c>
      <x:c r="L43" s="16" t="str">
        <x:v>Days 6–9</x:v>
      </x:c>
      <x:c r="M43" s="16" t="str"/>
    </x:row>
    <x:row r="44" ht="66" customHeight="1">
      <x:c r="A44" s="16" t="str">
        <x:v>Day 10</x:v>
      </x:c>
      <x:c r="B44" s="16" t="str">
        <x:v>Foundation integration review</x:v>
      </x:c>
      <x:c r="C44" s="16" t="str">
        <x:v>Confirm the LMS integration foundation is stable before Author features expand.</x:v>
      </x:c>
      <x:c r="D44" s="16" t="str">
        <x:v>Dhanunjaya</x:v>
      </x:c>
      <x:c r="E44" s="16" t="str">
        <x:v>Database</x:v>
      </x:c>
      <x:c r="F44" s="16" t="str">
        <x:v>Database — Verify migrations, keys, ordering and tenant constraints.</x:v>
      </x:c>
      <x:c r="G44" s="16" t="str">
        <x:v>Reviewed schema, migration or data change for Foundation integration review</x:v>
      </x:c>
      <x:c r="H44" s="16" t="str">
        <x:v>The schema/query change runs locally, preserves integrity and is ready for QA.</x:v>
      </x:c>
      <x:c r="I44" s="16" t="str">
        <x:v>The lesson-to-persisted-screen flow passes with no critical open defect.</x:v>
      </x:c>
      <x:c r="J44" s="16" t="str">
        <x:v>Planned</x:v>
      </x:c>
      <x:c r="K44" s="17" t="n">
        <x:v>0</x:v>
      </x:c>
      <x:c r="L44" s="16" t="str">
        <x:v>Days 6–9</x:v>
      </x:c>
      <x:c r="M44" s="16" t="str"/>
    </x:row>
    <x:row r="45" ht="66" customHeight="1">
      <x:c r="A45" s="16" t="str">
        <x:v>Day 10</x:v>
      </x:c>
      <x:c r="B45" s="16" t="str">
        <x:v>Foundation integration review</x:v>
      </x:c>
      <x:c r="C45" s="16" t="str">
        <x:v>Confirm the LMS integration foundation is stable before Author features expand.</x:v>
      </x:c>
      <x:c r="D45" s="16" t="str">
        <x:v>Teja</x:v>
      </x:c>
      <x:c r="E45" s="16" t="str">
        <x:v>QA</x:v>
      </x:c>
      <x:c r="F45" s="16" t="str">
        <x:v>QA — Run the Sprint 1 regression and record pass/fail evidence.</x:v>
      </x:c>
      <x:c r="G45" s="16" t="str">
        <x:v>Executed test results and defect update for Foundation integration review</x:v>
      </x:c>
      <x:c r="H45" s="16" t="str">
        <x:v>Planned tests are executed, and pass/fail evidence and defects are recorded.</x:v>
      </x:c>
      <x:c r="I45" s="16" t="str">
        <x:v>The lesson-to-persisted-screen flow passes with no critical open defect.</x:v>
      </x:c>
      <x:c r="J45" s="16" t="str">
        <x:v>Planned</x:v>
      </x:c>
      <x:c r="K45" s="17" t="n">
        <x:v>0</x:v>
      </x:c>
      <x:c r="L45" s="16" t="str">
        <x:v>Days 6–9</x:v>
      </x:c>
      <x:c r="M45" s="16" t="str"/>
    </x:row>
    <x:row r="46" ht="66" customHeight="1">
      <x:c r="A46" s="16" t="str">
        <x:v>Day 11</x:v>
      </x:c>
      <x:c r="B46" s="16" t="str">
        <x:v>Structured screen-object editor</x:v>
      </x:c>
      <x:c r="C46" s="16" t="str">
        <x:v>Let Authors edit supported teaching objects without a free-form slide clone.</x:v>
      </x:c>
      <x:c r="D46" s="16" t="str">
        <x:v>Rahul</x:v>
      </x:c>
      <x:c r="E46" s="16" t="str">
        <x:v>Database</x:v>
      </x:c>
      <x:c r="F46" s="16" t="str">
        <x:v>Database — Finalize object-type payload storage and revision fields.</x:v>
      </x:c>
      <x:c r="G46" s="16" t="str">
        <x:v>Reviewed schema, migration or data change for Structured screen-object editor</x:v>
      </x:c>
      <x:c r="H46" s="16" t="str">
        <x:v>The schema/query change runs locally, preserves integrity and is ready for QA.</x:v>
      </x:c>
      <x:c r="I46" s="16" t="str">
        <x:v>An Author can create and edit each MVP object type with clear validation.</x:v>
      </x:c>
      <x:c r="J46" s="16" t="str">
        <x:v>Planned</x:v>
      </x:c>
      <x:c r="K46" s="17" t="n">
        <x:v>0</x:v>
      </x:c>
      <x:c r="L46" s="16" t="str">
        <x:v>Day 10</x:v>
      </x:c>
      <x:c r="M46" s="16" t="str"/>
    </x:row>
    <x:row r="47" ht="66" customHeight="1">
      <x:c r="A47" s="16" t="str">
        <x:v>Day 11</x:v>
      </x:c>
      <x:c r="B47" s="16" t="str">
        <x:v>Structured screen-object editor</x:v>
      </x:c>
      <x:c r="C47" s="16" t="str">
        <x:v>Let Authors edit supported teaching objects without a free-form slide clone.</x:v>
      </x:c>
      <x:c r="D47" s="16" t="str">
        <x:v>Poojitha</x:v>
      </x:c>
      <x:c r="E47" s="16" t="str">
        <x:v>Frontend</x:v>
      </x:c>
      <x:c r="F47" s="16" t="str">
        <x:v>Frontend — Build editing controls for text, visual, question and resource placeholders.</x:v>
      </x:c>
      <x:c r="G47" s="16" t="str">
        <x:v>Working UI/component for Structured screen-object editor</x:v>
      </x:c>
      <x:c r="H47" s="16" t="str">
        <x:v>The UI works in the agreed flow and is ready for QA.</x:v>
      </x:c>
      <x:c r="I47" s="16" t="str">
        <x:v>An Author can create and edit each MVP object type with clear validation.</x:v>
      </x:c>
      <x:c r="J47" s="16" t="str">
        <x:v>Planned</x:v>
      </x:c>
      <x:c r="K47" s="17" t="n">
        <x:v>0</x:v>
      </x:c>
      <x:c r="L47" s="16" t="str">
        <x:v>Day 10</x:v>
      </x:c>
      <x:c r="M47" s="16" t="str"/>
    </x:row>
    <x:row r="48" ht="66" customHeight="1">
      <x:c r="A48" s="16" t="str">
        <x:v>Day 11</x:v>
      </x:c>
      <x:c r="B48" s="16" t="str">
        <x:v>Structured screen-object editor</x:v>
      </x:c>
      <x:c r="C48" s="16" t="str">
        <x:v>Let Authors edit supported teaching objects without a free-form slide clone.</x:v>
      </x:c>
      <x:c r="D48" s="16" t="str">
        <x:v>Dhanunjaya</x:v>
      </x:c>
      <x:c r="E48" s="16" t="str">
        <x:v>Backend</x:v>
      </x:c>
      <x:c r="F48" s="16" t="str">
        <x:v>Backend — Implement typed object commands and server validation.</x:v>
      </x:c>
      <x:c r="G48" s="16" t="str">
        <x:v>Working API/service for Structured screen-object editor</x:v>
      </x:c>
      <x:c r="H48" s="16" t="str">
        <x:v>The service/API works with permissions and error handling and is ready for QA.</x:v>
      </x:c>
      <x:c r="I48" s="16" t="str">
        <x:v>An Author can create and edit each MVP object type with clear validation.</x:v>
      </x:c>
      <x:c r="J48" s="16" t="str">
        <x:v>Planned</x:v>
      </x:c>
      <x:c r="K48" s="17" t="n">
        <x:v>0</x:v>
      </x:c>
      <x:c r="L48" s="16" t="str">
        <x:v>Day 10</x:v>
      </x:c>
      <x:c r="M48" s="16" t="str"/>
    </x:row>
    <x:row r="49" ht="66" customHeight="1">
      <x:c r="A49" s="16" t="str">
        <x:v>Day 11</x:v>
      </x:c>
      <x:c r="B49" s="16" t="str">
        <x:v>Structured screen-object editor</x:v>
      </x:c>
      <x:c r="C49" s="16" t="str">
        <x:v>Let Authors edit supported teaching objects without a free-form slide clone.</x:v>
      </x:c>
      <x:c r="D49" s="16" t="str">
        <x:v>Teja</x:v>
      </x:c>
      <x:c r="E49" s="16" t="str">
        <x:v>QA</x:v>
      </x:c>
      <x:c r="F49" s="16" t="str">
        <x:v>QA — Test create/edit for every supported object type and invalid payload handling.</x:v>
      </x:c>
      <x:c r="G49" s="16" t="str">
        <x:v>Executed test results and defect update for Structured screen-object editor</x:v>
      </x:c>
      <x:c r="H49" s="16" t="str">
        <x:v>Planned tests are executed, and pass/fail evidence and defects are recorded.</x:v>
      </x:c>
      <x:c r="I49" s="16" t="str">
        <x:v>An Author can create and edit each MVP object type with clear validation.</x:v>
      </x:c>
      <x:c r="J49" s="16" t="str">
        <x:v>Planned</x:v>
      </x:c>
      <x:c r="K49" s="17" t="n">
        <x:v>0</x:v>
      </x:c>
      <x:c r="L49" s="16" t="str">
        <x:v>Day 10</x:v>
      </x:c>
      <x:c r="M49" s="16" t="str"/>
    </x:row>
    <x:row r="50" ht="66" customHeight="1">
      <x:c r="A50" s="16" t="str">
        <x:v>Day 12</x:v>
      </x:c>
      <x:c r="B50" s="16" t="str">
        <x:v>Object save, reorder and validation</x:v>
      </x:c>
      <x:c r="C50" s="16" t="str">
        <x:v>Make object changes safe, ordered and understandable.</x:v>
      </x:c>
      <x:c r="D50" s="16" t="str">
        <x:v>Rahul</x:v>
      </x:c>
      <x:c r="E50" s="16" t="str">
        <x:v>Backend</x:v>
      </x:c>
      <x:c r="F50" s="16" t="str">
        <x:v>Backend — Implement transactional save, reorder and conflict handling.</x:v>
      </x:c>
      <x:c r="G50" s="16" t="str">
        <x:v>Working API/service for Object save, reorder and validation</x:v>
      </x:c>
      <x:c r="H50" s="16" t="str">
        <x:v>The service/API works with permissions and error handling and is ready for QA.</x:v>
      </x:c>
      <x:c r="I50" s="16" t="str">
        <x:v>Valid changes save atomically and invalid/conflicting changes do not damage the draft.</x:v>
      </x:c>
      <x:c r="J50" s="16" t="str">
        <x:v>Planned</x:v>
      </x:c>
      <x:c r="K50" s="17" t="n">
        <x:v>0</x:v>
      </x:c>
      <x:c r="L50" s="16" t="str">
        <x:v>Day 11</x:v>
      </x:c>
      <x:c r="M50" s="16" t="str"/>
    </x:row>
    <x:row r="51" ht="66" customHeight="1">
      <x:c r="A51" s="16" t="str">
        <x:v>Day 12</x:v>
      </x:c>
      <x:c r="B51" s="16" t="str">
        <x:v>Object save, reorder and validation</x:v>
      </x:c>
      <x:c r="C51" s="16" t="str">
        <x:v>Make object changes safe, ordered and understandable.</x:v>
      </x:c>
      <x:c r="D51" s="16" t="str">
        <x:v>Poojitha</x:v>
      </x:c>
      <x:c r="E51" s="16" t="str">
        <x:v>Database</x:v>
      </x:c>
      <x:c r="F51" s="16" t="str">
        <x:v>Database — Enforce stable order and revision/concurrency rules.</x:v>
      </x:c>
      <x:c r="G51" s="16" t="str">
        <x:v>Reviewed schema, migration or data change for Object save, reorder and validation</x:v>
      </x:c>
      <x:c r="H51" s="16" t="str">
        <x:v>The schema/query change runs locally, preserves integrity and is ready for QA.</x:v>
      </x:c>
      <x:c r="I51" s="16" t="str">
        <x:v>Valid changes save atomically and invalid/conflicting changes do not damage the draft.</x:v>
      </x:c>
      <x:c r="J51" s="16" t="str">
        <x:v>Planned</x:v>
      </x:c>
      <x:c r="K51" s="17" t="n">
        <x:v>0</x:v>
      </x:c>
      <x:c r="L51" s="16" t="str">
        <x:v>Day 11</x:v>
      </x:c>
      <x:c r="M51" s="16" t="str"/>
    </x:row>
    <x:row r="52" ht="66" customHeight="1">
      <x:c r="A52" s="16" t="str">
        <x:v>Day 12</x:v>
      </x:c>
      <x:c r="B52" s="16" t="str">
        <x:v>Object save, reorder and validation</x:v>
      </x:c>
      <x:c r="C52" s="16" t="str">
        <x:v>Make object changes safe, ordered and understandable.</x:v>
      </x:c>
      <x:c r="D52" s="16" t="str">
        <x:v>Dhanunjaya</x:v>
      </x:c>
      <x:c r="E52" s="16" t="str">
        <x:v>Frontend</x:v>
      </x:c>
      <x:c r="F52" s="16" t="str">
        <x:v>Frontend — Add object reorder controls, unsaved-state cues and validation messages.</x:v>
      </x:c>
      <x:c r="G52" s="16" t="str">
        <x:v>Working UI/component for Object save, reorder and validation</x:v>
      </x:c>
      <x:c r="H52" s="16" t="str">
        <x:v>The UI works in the agreed flow and is ready for QA.</x:v>
      </x:c>
      <x:c r="I52" s="16" t="str">
        <x:v>Valid changes save atomically and invalid/conflicting changes do not damage the draft.</x:v>
      </x:c>
      <x:c r="J52" s="16" t="str">
        <x:v>Planned</x:v>
      </x:c>
      <x:c r="K52" s="17" t="n">
        <x:v>0</x:v>
      </x:c>
      <x:c r="L52" s="16" t="str">
        <x:v>Day 11</x:v>
      </x:c>
      <x:c r="M52" s="16" t="str"/>
    </x:row>
    <x:row r="53" ht="66" customHeight="1">
      <x:c r="A53" s="16" t="str">
        <x:v>Day 12</x:v>
      </x:c>
      <x:c r="B53" s="16" t="str">
        <x:v>Object save, reorder and validation</x:v>
      </x:c>
      <x:c r="C53" s="16" t="str">
        <x:v>Make object changes safe, ordered and understandable.</x:v>
      </x:c>
      <x:c r="D53" s="16" t="str">
        <x:v>Teja</x:v>
      </x:c>
      <x:c r="E53" s="16" t="str">
        <x:v>QA</x:v>
      </x:c>
      <x:c r="F53" s="16" t="str">
        <x:v>QA — Test reorder, partial failure, stale revision and unrelated-object preservation.</x:v>
      </x:c>
      <x:c r="G53" s="16" t="str">
        <x:v>Executed test results and defect update for Object save, reorder and validation</x:v>
      </x:c>
      <x:c r="H53" s="16" t="str">
        <x:v>Planned tests are executed, and pass/fail evidence and defects are recorded.</x:v>
      </x:c>
      <x:c r="I53" s="16" t="str">
        <x:v>Valid changes save atomically and invalid/conflicting changes do not damage the draft.</x:v>
      </x:c>
      <x:c r="J53" s="16" t="str">
        <x:v>Planned</x:v>
      </x:c>
      <x:c r="K53" s="17" t="n">
        <x:v>0</x:v>
      </x:c>
      <x:c r="L53" s="16" t="str">
        <x:v>Day 11</x:v>
      </x:c>
      <x:c r="M53" s="16" t="str"/>
    </x:row>
    <x:row r="54" ht="66" customHeight="1">
      <x:c r="A54" s="16" t="str">
        <x:v>Day 13</x:v>
      </x:c>
      <x:c r="B54" s="16" t="str">
        <x:v>Layout switching and reveal behavior</x:v>
      </x:c>
      <x:c r="C54" s="16" t="str">
        <x:v>Allow layout changes while preserving compatible content and teaching sequence.</x:v>
      </x:c>
      <x:c r="D54" s="16" t="str">
        <x:v>Rahul</x:v>
      </x:c>
      <x:c r="E54" s="16" t="str">
        <x:v>Frontend</x:v>
      </x:c>
      <x:c r="F54" s="16" t="str">
        <x:v>Frontend — Build layout switching, mapping prompts and basic reveal-step controls.</x:v>
      </x:c>
      <x:c r="G54" s="16" t="str">
        <x:v>Working UI/component for Layout switching and reveal behavior</x:v>
      </x:c>
      <x:c r="H54" s="16" t="str">
        <x:v>The UI works in the agreed flow and is ready for QA.</x:v>
      </x:c>
      <x:c r="I54" s="16" t="str">
        <x:v>Layout changes never silently delete content and reveal state behaves predictably.</x:v>
      </x:c>
      <x:c r="J54" s="16" t="str">
        <x:v>Planned</x:v>
      </x:c>
      <x:c r="K54" s="17" t="n">
        <x:v>0</x:v>
      </x:c>
      <x:c r="L54" s="16" t="str">
        <x:v>Day 12</x:v>
      </x:c>
      <x:c r="M54" s="16" t="str"/>
    </x:row>
    <x:row r="55" ht="66" customHeight="1">
      <x:c r="A55" s="16" t="str">
        <x:v>Day 13</x:v>
      </x:c>
      <x:c r="B55" s="16" t="str">
        <x:v>Layout switching and reveal behavior</x:v>
      </x:c>
      <x:c r="C55" s="16" t="str">
        <x:v>Allow layout changes while preserving compatible content and teaching sequence.</x:v>
      </x:c>
      <x:c r="D55" s="16" t="str">
        <x:v>Poojitha</x:v>
      </x:c>
      <x:c r="E55" s="16" t="str">
        <x:v>Backend</x:v>
      </x:c>
      <x:c r="F55" s="16" t="str">
        <x:v>Backend — Validate object compatibility and reveal-step commands.</x:v>
      </x:c>
      <x:c r="G55" s="16" t="str">
        <x:v>Working API/service for Layout switching and reveal behavior</x:v>
      </x:c>
      <x:c r="H55" s="16" t="str">
        <x:v>The service/API works with permissions and error handling and is ready for QA.</x:v>
      </x:c>
      <x:c r="I55" s="16" t="str">
        <x:v>Layout changes never silently delete content and reveal state behaves predictably.</x:v>
      </x:c>
      <x:c r="J55" s="16" t="str">
        <x:v>Planned</x:v>
      </x:c>
      <x:c r="K55" s="17" t="n">
        <x:v>0</x:v>
      </x:c>
      <x:c r="L55" s="16" t="str">
        <x:v>Day 12</x:v>
      </x:c>
      <x:c r="M55" s="16" t="str"/>
    </x:row>
    <x:row r="56" ht="66" customHeight="1">
      <x:c r="A56" s="16" t="str">
        <x:v>Day 13</x:v>
      </x:c>
      <x:c r="B56" s="16" t="str">
        <x:v>Layout switching and reveal behavior</x:v>
      </x:c>
      <x:c r="C56" s="16" t="str">
        <x:v>Allow layout changes while preserving compatible content and teaching sequence.</x:v>
      </x:c>
      <x:c r="D56" s="16" t="str">
        <x:v>Dhanunjaya</x:v>
      </x:c>
      <x:c r="E56" s="16" t="str">
        <x:v>Database</x:v>
      </x:c>
      <x:c r="F56" s="16" t="str">
        <x:v>Database — Persist layout choice, object-slot mapping and reveal order.</x:v>
      </x:c>
      <x:c r="G56" s="16" t="str">
        <x:v>Reviewed schema, migration or data change for Layout switching and reveal behavior</x:v>
      </x:c>
      <x:c r="H56" s="16" t="str">
        <x:v>The schema/query change runs locally, preserves integrity and is ready for QA.</x:v>
      </x:c>
      <x:c r="I56" s="16" t="str">
        <x:v>Layout changes never silently delete content and reveal state behaves predictably.</x:v>
      </x:c>
      <x:c r="J56" s="16" t="str">
        <x:v>Planned</x:v>
      </x:c>
      <x:c r="K56" s="17" t="n">
        <x:v>0</x:v>
      </x:c>
      <x:c r="L56" s="16" t="str">
        <x:v>Day 12</x:v>
      </x:c>
      <x:c r="M56" s="16" t="str"/>
    </x:row>
    <x:row r="57" ht="66" customHeight="1">
      <x:c r="A57" s="16" t="str">
        <x:v>Day 13</x:v>
      </x:c>
      <x:c r="B57" s="16" t="str">
        <x:v>Layout switching and reveal behavior</x:v>
      </x:c>
      <x:c r="C57" s="16" t="str">
        <x:v>Allow layout changes while preserving compatible content and teaching sequence.</x:v>
      </x:c>
      <x:c r="D57" s="16" t="str">
        <x:v>Teja</x:v>
      </x:c>
      <x:c r="E57" s="16" t="str">
        <x:v>QA</x:v>
      </x:c>
      <x:c r="F57" s="16" t="str">
        <x:v>QA — Test compatible switches, incompatible warnings and reveal forward/reverse behavior.</x:v>
      </x:c>
      <x:c r="G57" s="16" t="str">
        <x:v>Executed test results and defect update for Layout switching and reveal behavior</x:v>
      </x:c>
      <x:c r="H57" s="16" t="str">
        <x:v>Planned tests are executed, and pass/fail evidence and defects are recorded.</x:v>
      </x:c>
      <x:c r="I57" s="16" t="str">
        <x:v>Layout changes never silently delete content and reveal state behaves predictably.</x:v>
      </x:c>
      <x:c r="J57" s="16" t="str">
        <x:v>Planned</x:v>
      </x:c>
      <x:c r="K57" s="17" t="n">
        <x:v>0</x:v>
      </x:c>
      <x:c r="L57" s="16" t="str">
        <x:v>Day 12</x:v>
      </x:c>
      <x:c r="M57" s="16" t="str"/>
    </x:row>
    <x:row r="58" ht="66" customHeight="1">
      <x:c r="A58" s="16" t="str">
        <x:v>Day 14</x:v>
      </x:c>
      <x:c r="B58" s="16" t="str">
        <x:v>Resource intake foundation</x:v>
      </x:c>
      <x:c r="C58" s="16" t="str">
        <x:v>Let Authors add a native item, file, external link or existing LMS resource.</x:v>
      </x:c>
      <x:c r="D58" s="16" t="str">
        <x:v>Rahul</x:v>
      </x:c>
      <x:c r="E58" s="16" t="str">
        <x:v>Database</x:v>
      </x:c>
      <x:c r="F58" s="16" t="str">
        <x:v>Database — Implement resource item/version records aligned to the LMS tenant model.</x:v>
      </x:c>
      <x:c r="G58" s="16" t="str">
        <x:v>Reviewed schema, migration or data change for Resource intake foundation</x:v>
      </x:c>
      <x:c r="H58" s="16" t="str">
        <x:v>The schema/query change runs locally, preserves integrity and is ready for QA.</x:v>
      </x:c>
      <x:c r="I58" s="16" t="str">
        <x:v>Create native text/simple quiz, upload agreed image/PDF formats, add reviewed HTTPS link and map internal resource as recoverable candidates. Unsupported formats are rejected with recovery. Executable HTML/ZIP, provider embeds and SCORM execution are deferred.</x:v>
      </x:c>
      <x:c r="J58" s="16" t="str">
        <x:v>Planned</x:v>
      </x:c>
      <x:c r="K58" s="17" t="n">
        <x:v>0</x:v>
      </x:c>
      <x:c r="L58" s="16" t="str">
        <x:v>Days 4 and 10</x:v>
      </x:c>
      <x:c r="M58" s="16" t="str"/>
    </x:row>
    <x:row r="59" ht="66" customHeight="1">
      <x:c r="A59" s="16" t="str">
        <x:v>Day 14</x:v>
      </x:c>
      <x:c r="B59" s="16" t="str">
        <x:v>Resource intake foundation</x:v>
      </x:c>
      <x:c r="C59" s="16" t="str">
        <x:v>Let Authors add a native item, file, external link or existing LMS resource.</x:v>
      </x:c>
      <x:c r="D59" s="16" t="str">
        <x:v>Poojitha</x:v>
      </x:c>
      <x:c r="E59" s="16" t="str">
        <x:v>Frontend</x:v>
      </x:c>
      <x:c r="F59" s="16" t="str">
        <x:v>Frontend — Build a single Add Resource flow with the four MVP entry routes.</x:v>
      </x:c>
      <x:c r="G59" s="16" t="str">
        <x:v>Working UI/component for Resource intake foundation</x:v>
      </x:c>
      <x:c r="H59" s="16" t="str">
        <x:v>The UI works in the agreed flow and is ready for QA.</x:v>
      </x:c>
      <x:c r="I59" s="16" t="str">
        <x:v>Create native text/simple quiz, upload agreed image/PDF formats, add reviewed HTTPS link and map internal resource as recoverable candidates. Unsupported formats are rejected with recovery. Executable HTML/ZIP, provider embeds and SCORM execution are deferred.</x:v>
      </x:c>
      <x:c r="J59" s="16" t="str">
        <x:v>Planned</x:v>
      </x:c>
      <x:c r="K59" s="17" t="n">
        <x:v>0</x:v>
      </x:c>
      <x:c r="L59" s="16" t="str">
        <x:v>Days 4 and 10</x:v>
      </x:c>
      <x:c r="M59" s="16" t="str"/>
    </x:row>
    <x:row r="60" ht="66" customHeight="1">
      <x:c r="A60" s="16" t="str">
        <x:v>Day 14</x:v>
      </x:c>
      <x:c r="B60" s="16" t="str">
        <x:v>Resource intake foundation</x:v>
      </x:c>
      <x:c r="C60" s="16" t="str">
        <x:v>Let Authors add a native item, file, external link or existing LMS resource.</x:v>
      </x:c>
      <x:c r="D60" s="16" t="str">
        <x:v>Dhanunjaya</x:v>
      </x:c>
      <x:c r="E60" s="16" t="str">
        <x:v>Backend</x:v>
      </x:c>
      <x:c r="F60" s="16" t="str">
        <x:v>Backend — Implement create, upload, link and internal-map commands with validation.</x:v>
      </x:c>
      <x:c r="G60" s="16" t="str">
        <x:v>Working API/service for Resource intake foundation</x:v>
      </x:c>
      <x:c r="H60" s="16" t="str">
        <x:v>The service/API works with permissions and error handling and is ready for QA.</x:v>
      </x:c>
      <x:c r="I60" s="16" t="str">
        <x:v>Create native text/simple quiz, upload agreed image/PDF formats, add reviewed HTTPS link and map internal resource as recoverable candidates. Unsupported formats are rejected with recovery. Executable HTML/ZIP, provider embeds and SCORM execution are deferred.</x:v>
      </x:c>
      <x:c r="J60" s="16" t="str">
        <x:v>Planned</x:v>
      </x:c>
      <x:c r="K60" s="17" t="n">
        <x:v>0</x:v>
      </x:c>
      <x:c r="L60" s="16" t="str">
        <x:v>Days 4 and 10</x:v>
      </x:c>
      <x:c r="M60" s="16" t="str"/>
    </x:row>
    <x:row r="61" ht="66" customHeight="1">
      <x:c r="A61" s="16" t="str">
        <x:v>Day 14</x:v>
      </x:c>
      <x:c r="B61" s="16" t="str">
        <x:v>Resource intake foundation</x:v>
      </x:c>
      <x:c r="C61" s="16" t="str">
        <x:v>Let Authors add a native item, file, external link or existing LMS resource.</x:v>
      </x:c>
      <x:c r="D61" s="16" t="str">
        <x:v>Teja</x:v>
      </x:c>
      <x:c r="E61" s="16" t="str">
        <x:v>QA</x:v>
      </x:c>
      <x:c r="F61" s="16" t="str">
        <x:v>QA — Test every route, unsupported format, interrupted upload and recovery message.</x:v>
      </x:c>
      <x:c r="G61" s="16" t="str">
        <x:v>Executed test results and defect update for Resource intake foundation</x:v>
      </x:c>
      <x:c r="H61" s="16" t="str">
        <x:v>Planned tests are executed, and pass/fail evidence and defects are recorded.</x:v>
      </x:c>
      <x:c r="I61" s="16" t="str">
        <x:v>Create native text/simple quiz, upload agreed image/PDF formats, add reviewed HTTPS link and map internal resource as recoverable candidates. Unsupported formats are rejected with recovery. Executable HTML/ZIP, provider embeds and SCORM execution are deferred.</x:v>
      </x:c>
      <x:c r="J61" s="16" t="str">
        <x:v>Planned</x:v>
      </x:c>
      <x:c r="K61" s="17" t="n">
        <x:v>0</x:v>
      </x:c>
      <x:c r="L61" s="16" t="str">
        <x:v>Days 4 and 10</x:v>
      </x:c>
      <x:c r="M61" s="16" t="str"/>
    </x:row>
    <x:row r="62" ht="66" customHeight="1">
      <x:c r="A62" s="16" t="str">
        <x:v>Day 15</x:v>
      </x:c>
      <x:c r="B62" s="16" t="str">
        <x:v>Resource version and academic review</x:v>
      </x:c>
      <x:c r="C62" s="16" t="str">
        <x:v>Protect approved resource versions and record review decisions.</x:v>
      </x:c>
      <x:c r="D62" s="16" t="str">
        <x:v>Rahul</x:v>
      </x:c>
      <x:c r="E62" s="16" t="str">
        <x:v>Backend</x:v>
      </x:c>
      <x:c r="F62" s="16" t="str">
        <x:v>Backend — Implement candidate, approve, reject and withdraw transitions.</x:v>
      </x:c>
      <x:c r="G62" s="16" t="str">
        <x:v>Working API/service for Resource version and academic review</x:v>
      </x:c>
      <x:c r="H62" s="16" t="str">
        <x:v>The service/API works with permissions and error handling and is ready for QA.</x:v>
      </x:c>
      <x:c r="I62" s="16" t="str">
        <x:v>Scoped Author review identifies exact content hash, rationale, rights/accessibility and fallback. Approved payloads are immutable; withdrawal blocks new use while retaining references.</x:v>
      </x:c>
      <x:c r="J62" s="16" t="str">
        <x:v>Planned</x:v>
      </x:c>
      <x:c r="K62" s="17" t="n">
        <x:v>0</x:v>
      </x:c>
      <x:c r="L62" s="16" t="str">
        <x:v>Day 14</x:v>
      </x:c>
      <x:c r="M62" s="16" t="str"/>
    </x:row>
    <x:row r="63" ht="66" customHeight="1">
      <x:c r="A63" s="16" t="str">
        <x:v>Day 15</x:v>
      </x:c>
      <x:c r="B63" s="16" t="str">
        <x:v>Resource version and academic review</x:v>
      </x:c>
      <x:c r="C63" s="16" t="str">
        <x:v>Protect approved resource versions and record review decisions.</x:v>
      </x:c>
      <x:c r="D63" s="16" t="str">
        <x:v>Poojitha</x:v>
      </x:c>
      <x:c r="E63" s="16" t="str">
        <x:v>Database</x:v>
      </x:c>
      <x:c r="F63" s="16" t="str">
        <x:v>Database — Enforce version numbering, immutable approved payloads and append-only decisions.</x:v>
      </x:c>
      <x:c r="G63" s="16" t="str">
        <x:v>Reviewed schema, migration or data change for Resource version and academic review</x:v>
      </x:c>
      <x:c r="H63" s="16" t="str">
        <x:v>The schema/query change runs locally, preserves integrity and is ready for QA.</x:v>
      </x:c>
      <x:c r="I63" s="16" t="str">
        <x:v>Scoped Author review identifies exact content hash, rationale, rights/accessibility and fallback. Approved payloads are immutable; withdrawal blocks new use while retaining references.</x:v>
      </x:c>
      <x:c r="J63" s="16" t="str">
        <x:v>Planned</x:v>
      </x:c>
      <x:c r="K63" s="17" t="n">
        <x:v>0</x:v>
      </x:c>
      <x:c r="L63" s="16" t="str">
        <x:v>Day 14</x:v>
      </x:c>
      <x:c r="M63" s="16" t="str"/>
    </x:row>
    <x:row r="64" ht="66" customHeight="1">
      <x:c r="A64" s="16" t="str">
        <x:v>Day 15</x:v>
      </x:c>
      <x:c r="B64" s="16" t="str">
        <x:v>Resource version and academic review</x:v>
      </x:c>
      <x:c r="C64" s="16" t="str">
        <x:v>Protect approved resource versions and record review decisions.</x:v>
      </x:c>
      <x:c r="D64" s="16" t="str">
        <x:v>Dhanunjaya</x:v>
      </x:c>
      <x:c r="E64" s="16" t="str">
        <x:v>Frontend</x:v>
      </x:c>
      <x:c r="F64" s="16" t="str">
        <x:v>Frontend — Build candidate-version, review-status and decision views.</x:v>
      </x:c>
      <x:c r="G64" s="16" t="str">
        <x:v>Working UI/component for Resource version and academic review</x:v>
      </x:c>
      <x:c r="H64" s="16" t="str">
        <x:v>The UI works in the agreed flow and is ready for QA.</x:v>
      </x:c>
      <x:c r="I64" s="16" t="str">
        <x:v>Scoped Author review identifies exact content hash, rationale, rights/accessibility and fallback. Approved payloads are immutable; withdrawal blocks new use while retaining references.</x:v>
      </x:c>
      <x:c r="J64" s="16" t="str">
        <x:v>Planned</x:v>
      </x:c>
      <x:c r="K64" s="17" t="n">
        <x:v>0</x:v>
      </x:c>
      <x:c r="L64" s="16" t="str">
        <x:v>Day 14</x:v>
      </x:c>
      <x:c r="M64" s="16" t="str"/>
    </x:row>
    <x:row r="65" ht="66" customHeight="1">
      <x:c r="A65" s="16" t="str">
        <x:v>Day 15</x:v>
      </x:c>
      <x:c r="B65" s="16" t="str">
        <x:v>Resource version and academic review</x:v>
      </x:c>
      <x:c r="C65" s="16" t="str">
        <x:v>Protect approved resource versions and record review decisions.</x:v>
      </x:c>
      <x:c r="D65" s="16" t="str">
        <x:v>Teja</x:v>
      </x:c>
      <x:c r="E65" s="16" t="str">
        <x:v>QA</x:v>
      </x:c>
      <x:c r="F65" s="16" t="str">
        <x:v>QA — Test allowed transitions, mutation rejection and referenced-version protection.</x:v>
      </x:c>
      <x:c r="G65" s="16" t="str">
        <x:v>Executed test results and defect update for Resource version and academic review</x:v>
      </x:c>
      <x:c r="H65" s="16" t="str">
        <x:v>Planned tests are executed, and pass/fail evidence and defects are recorded.</x:v>
      </x:c>
      <x:c r="I65" s="16" t="str">
        <x:v>Scoped Author review identifies exact content hash, rationale, rights/accessibility and fallback. Approved payloads are immutable; withdrawal blocks new use while retaining references.</x:v>
      </x:c>
      <x:c r="J65" s="16" t="str">
        <x:v>Planned</x:v>
      </x:c>
      <x:c r="K65" s="17" t="n">
        <x:v>0</x:v>
      </x:c>
      <x:c r="L65" s="16" t="str">
        <x:v>Day 14</x:v>
      </x:c>
      <x:c r="M65" s="16" t="str"/>
    </x:row>
    <x:row r="66" ht="66" customHeight="1">
      <x:c r="A66" s="16" t="str">
        <x:v>Day 16</x:v>
      </x:c>
      <x:c r="B66" s="16" t="str">
        <x:v>Resource Library search and filters</x:v>
      </x:c>
      <x:c r="C66" s="16" t="str">
        <x:v>Help Authors find reusable approved resources quickly.</x:v>
      </x:c>
      <x:c r="D66" s="16" t="str">
        <x:v>Rahul</x:v>
      </x:c>
      <x:c r="E66" s="16" t="str">
        <x:v>Frontend</x:v>
      </x:c>
      <x:c r="F66" s="16" t="str">
        <x:v>Frontend — Build catalog, search, type/subject/grade filters and pagination.</x:v>
      </x:c>
      <x:c r="G66" s="16" t="str">
        <x:v>Working UI/component for Resource Library search and filters</x:v>
      </x:c>
      <x:c r="H66" s="16" t="str">
        <x:v>The UI works in the agreed flow and is ready for QA.</x:v>
      </x:c>
      <x:c r="I66" s="16" t="str">
        <x:v>Authorized users can find approved resources using combined filters without scope leakage.</x:v>
      </x:c>
      <x:c r="J66" s="16" t="str">
        <x:v>Planned</x:v>
      </x:c>
      <x:c r="K66" s="17" t="n">
        <x:v>0</x:v>
      </x:c>
      <x:c r="L66" s="16" t="str">
        <x:v>Day 15</x:v>
      </x:c>
      <x:c r="M66" s="16" t="str"/>
    </x:row>
    <x:row r="67" ht="66" customHeight="1">
      <x:c r="A67" s="16" t="str">
        <x:v>Day 16</x:v>
      </x:c>
      <x:c r="B67" s="16" t="str">
        <x:v>Resource Library search and filters</x:v>
      </x:c>
      <x:c r="C67" s="16" t="str">
        <x:v>Help Authors find reusable approved resources quickly.</x:v>
      </x:c>
      <x:c r="D67" s="16" t="str">
        <x:v>Poojitha</x:v>
      </x:c>
      <x:c r="E67" s="16" t="str">
        <x:v>Backend</x:v>
      </x:c>
      <x:c r="F67" s="16" t="str">
        <x:v>Backend — Implement scoped search and filter APIs.</x:v>
      </x:c>
      <x:c r="G67" s="16" t="str">
        <x:v>Working API/service for Resource Library search and filters</x:v>
      </x:c>
      <x:c r="H67" s="16" t="str">
        <x:v>The service/API works with permissions and error handling and is ready for QA.</x:v>
      </x:c>
      <x:c r="I67" s="16" t="str">
        <x:v>Authorized users can find approved resources using combined filters without scope leakage.</x:v>
      </x:c>
      <x:c r="J67" s="16" t="str">
        <x:v>Planned</x:v>
      </x:c>
      <x:c r="K67" s="17" t="n">
        <x:v>0</x:v>
      </x:c>
      <x:c r="L67" s="16" t="str">
        <x:v>Day 15</x:v>
      </x:c>
      <x:c r="M67" s="16" t="str"/>
    </x:row>
    <x:row r="68" ht="66" customHeight="1">
      <x:c r="A68" s="16" t="str">
        <x:v>Day 16</x:v>
      </x:c>
      <x:c r="B68" s="16" t="str">
        <x:v>Resource Library search and filters</x:v>
      </x:c>
      <x:c r="C68" s="16" t="str">
        <x:v>Help Authors find reusable approved resources quickly.</x:v>
      </x:c>
      <x:c r="D68" s="16" t="str">
        <x:v>Dhanunjaya</x:v>
      </x:c>
      <x:c r="E68" s="16" t="str">
        <x:v>Database</x:v>
      </x:c>
      <x:c r="F68" s="16" t="str">
        <x:v>Database — Add academic mappings and indexes required by catalog queries.</x:v>
      </x:c>
      <x:c r="G68" s="16" t="str">
        <x:v>Reviewed schema, migration or data change for Resource Library search and filters</x:v>
      </x:c>
      <x:c r="H68" s="16" t="str">
        <x:v>The schema/query change runs locally, preserves integrity and is ready for QA.</x:v>
      </x:c>
      <x:c r="I68" s="16" t="str">
        <x:v>Authorized users can find approved resources using combined filters without scope leakage.</x:v>
      </x:c>
      <x:c r="J68" s="16" t="str">
        <x:v>Planned</x:v>
      </x:c>
      <x:c r="K68" s="17" t="n">
        <x:v>0</x:v>
      </x:c>
      <x:c r="L68" s="16" t="str">
        <x:v>Day 15</x:v>
      </x:c>
      <x:c r="M68" s="16" t="str"/>
    </x:row>
    <x:row r="69" ht="66" customHeight="1">
      <x:c r="A69" s="16" t="str">
        <x:v>Day 16</x:v>
      </x:c>
      <x:c r="B69" s="16" t="str">
        <x:v>Resource Library search and filters</x:v>
      </x:c>
      <x:c r="C69" s="16" t="str">
        <x:v>Help Authors find reusable approved resources quickly.</x:v>
      </x:c>
      <x:c r="D69" s="16" t="str">
        <x:v>Teja</x:v>
      </x:c>
      <x:c r="E69" s="16" t="str">
        <x:v>QA</x:v>
      </x:c>
      <x:c r="F69" s="16" t="str">
        <x:v>QA — Test combined filters, pagination, empty results and tenant/role boundaries.</x:v>
      </x:c>
      <x:c r="G69" s="16" t="str">
        <x:v>Executed test results and defect update for Resource Library search and filters</x:v>
      </x:c>
      <x:c r="H69" s="16" t="str">
        <x:v>Planned tests are executed, and pass/fail evidence and defects are recorded.</x:v>
      </x:c>
      <x:c r="I69" s="16" t="str">
        <x:v>Authorized users can find approved resources using combined filters without scope leakage.</x:v>
      </x:c>
      <x:c r="J69" s="16" t="str">
        <x:v>Planned</x:v>
      </x:c>
      <x:c r="K69" s="17" t="n">
        <x:v>0</x:v>
      </x:c>
      <x:c r="L69" s="16" t="str">
        <x:v>Day 15</x:v>
      </x:c>
      <x:c r="M69" s="16" t="str"/>
    </x:row>
    <x:row r="70" ht="66" customHeight="1">
      <x:c r="A70" s="16" t="str">
        <x:v>Day 17</x:v>
      </x:c>
      <x:c r="B70" s="16" t="str">
        <x:v>Exact-version resource binding</x:v>
      </x:c>
      <x:c r="C70" s="16" t="str">
        <x:v>Attach one approved version to a screen with context-specific instructions.</x:v>
      </x:c>
      <x:c r="D70" s="16" t="str">
        <x:v>Rahul</x:v>
      </x:c>
      <x:c r="E70" s="16" t="str">
        <x:v>Database</x:v>
      </x:c>
      <x:c r="F70" s="16" t="str">
        <x:v>Database — Enforce exact version, one placement owner and independent binding data.</x:v>
      </x:c>
      <x:c r="G70" s="16" t="str">
        <x:v>Reviewed schema, migration or data change for Exact-version resource binding</x:v>
      </x:c>
      <x:c r="H70" s="16" t="str">
        <x:v>The schema/query change runs locally, preserves integrity and is ready for QA.</x:v>
      </x:c>
      <x:c r="I70" s="16" t="str">
        <x:v>One approved version is reused across two lessons, preferably two subjects, without duplicate bytes; each binding keeps independent prompts, audience, launch settings and fallback.</x:v>
      </x:c>
      <x:c r="J70" s="16" t="str">
        <x:v>Planned</x:v>
      </x:c>
      <x:c r="K70" s="17" t="n">
        <x:v>0</x:v>
      </x:c>
      <x:c r="L70" s="16" t="str">
        <x:v>Day 16</x:v>
      </x:c>
      <x:c r="M70" s="16" t="str"/>
    </x:row>
    <x:row r="71" ht="66" customHeight="1">
      <x:c r="A71" s="16" t="str">
        <x:v>Day 17</x:v>
      </x:c>
      <x:c r="B71" s="16" t="str">
        <x:v>Exact-version resource binding</x:v>
      </x:c>
      <x:c r="C71" s="16" t="str">
        <x:v>Attach one approved version to a screen with context-specific instructions.</x:v>
      </x:c>
      <x:c r="D71" s="16" t="str">
        <x:v>Poojitha</x:v>
      </x:c>
      <x:c r="E71" s="16" t="str">
        <x:v>Frontend</x:v>
      </x:c>
      <x:c r="F71" s="16" t="str">
        <x:v>Frontend — Build attach-resource and placement-instructions controls.</x:v>
      </x:c>
      <x:c r="G71" s="16" t="str">
        <x:v>Working UI/component for Exact-version resource binding</x:v>
      </x:c>
      <x:c r="H71" s="16" t="str">
        <x:v>The UI works in the agreed flow and is ready for QA.</x:v>
      </x:c>
      <x:c r="I71" s="16" t="str">
        <x:v>One approved version is reused across two lessons, preferably two subjects, without duplicate bytes; each binding keeps independent prompts, audience, launch settings and fallback.</x:v>
      </x:c>
      <x:c r="J71" s="16" t="str">
        <x:v>Planned</x:v>
      </x:c>
      <x:c r="K71" s="17" t="n">
        <x:v>0</x:v>
      </x:c>
      <x:c r="L71" s="16" t="str">
        <x:v>Day 16</x:v>
      </x:c>
      <x:c r="M71" s="16" t="str"/>
    </x:row>
    <x:row r="72" ht="66" customHeight="1">
      <x:c r="A72" s="16" t="str">
        <x:v>Day 17</x:v>
      </x:c>
      <x:c r="B72" s="16" t="str">
        <x:v>Exact-version resource binding</x:v>
      </x:c>
      <x:c r="C72" s="16" t="str">
        <x:v>Attach one approved version to a screen with context-specific instructions.</x:v>
      </x:c>
      <x:c r="D72" s="16" t="str">
        <x:v>Dhanunjaya</x:v>
      </x:c>
      <x:c r="E72" s="16" t="str">
        <x:v>Backend</x:v>
      </x:c>
      <x:c r="F72" s="16" t="str">
        <x:v>Backend — Implement binding creation and approved-version validation.</x:v>
      </x:c>
      <x:c r="G72" s="16" t="str">
        <x:v>Working API/service for Exact-version resource binding</x:v>
      </x:c>
      <x:c r="H72" s="16" t="str">
        <x:v>The service/API works with permissions and error handling and is ready for QA.</x:v>
      </x:c>
      <x:c r="I72" s="16" t="str">
        <x:v>One approved version is reused across two lessons, preferably two subjects, without duplicate bytes; each binding keeps independent prompts, audience, launch settings and fallback.</x:v>
      </x:c>
      <x:c r="J72" s="16" t="str">
        <x:v>Planned</x:v>
      </x:c>
      <x:c r="K72" s="17" t="n">
        <x:v>0</x:v>
      </x:c>
      <x:c r="L72" s="16" t="str">
        <x:v>Day 16</x:v>
      </x:c>
      <x:c r="M72" s="16" t="str"/>
    </x:row>
    <x:row r="73" ht="66" customHeight="1">
      <x:c r="A73" s="16" t="str">
        <x:v>Day 17</x:v>
      </x:c>
      <x:c r="B73" s="16" t="str">
        <x:v>Exact-version resource binding</x:v>
      </x:c>
      <x:c r="C73" s="16" t="str">
        <x:v>Attach one approved version to a screen with context-specific instructions.</x:v>
      </x:c>
      <x:c r="D73" s="16" t="str">
        <x:v>Teja</x:v>
      </x:c>
      <x:c r="E73" s="16" t="str">
        <x:v>QA</x:v>
      </x:c>
      <x:c r="F73" s="16" t="str">
        <x:v>QA — Test one version reused in two lessons with different prompts and fallbacks.</x:v>
      </x:c>
      <x:c r="G73" s="16" t="str">
        <x:v>Executed test results and defect update for Exact-version resource binding</x:v>
      </x:c>
      <x:c r="H73" s="16" t="str">
        <x:v>Planned tests are executed, and pass/fail evidence and defects are recorded.</x:v>
      </x:c>
      <x:c r="I73" s="16" t="str">
        <x:v>One approved version is reused across two lessons, preferably two subjects, without duplicate bytes; each binding keeps independent prompts, audience, launch settings and fallback.</x:v>
      </x:c>
      <x:c r="J73" s="16" t="str">
        <x:v>Planned</x:v>
      </x:c>
      <x:c r="K73" s="17" t="n">
        <x:v>0</x:v>
      </x:c>
      <x:c r="L73" s="16" t="str">
        <x:v>Day 16</x:v>
      </x:c>
      <x:c r="M73" s="16" t="str"/>
    </x:row>
    <x:row r="74" ht="66" customHeight="1">
      <x:c r="A74" s="16" t="str">
        <x:v>Day 18</x:v>
      </x:c>
      <x:c r="B74" s="16" t="str">
        <x:v>Clarification branch and return state</x:v>
      </x:c>
      <x:c r="C74" s="16" t="str">
        <x:v>Let a Teacher open one clarification and return to the exact lesson position.</x:v>
      </x:c>
      <x:c r="D74" s="16" t="str">
        <x:v>Rahul</x:v>
      </x:c>
      <x:c r="E74" s="16" t="str">
        <x:v>Backend</x:v>
      </x:c>
      <x:c r="F74" s="16" t="str">
        <x:v>Backend — Implement branch launch and screen-state restoration services.</x:v>
      </x:c>
      <x:c r="G74" s="16" t="str">
        <x:v>Working API/service for Clarification branch and return state</x:v>
      </x:c>
      <x:c r="H74" s="16" t="str">
        <x:v>The service/API works with permissions and error handling and is ready for QA.</x:v>
      </x:c>
      <x:c r="I74" s="16" t="str">
        <x:v>Teacher branch preview returns to the same screen, reveal and supported interaction state; persisted run verification is repeated on Day 23. Learner payload omits private branches.</x:v>
      </x:c>
      <x:c r="J74" s="16" t="str">
        <x:v>Planned</x:v>
      </x:c>
      <x:c r="K74" s="17" t="n">
        <x:v>0</x:v>
      </x:c>
      <x:c r="L74" s="16" t="str">
        <x:v>Day 17; preview harness only until Day 23 release player</x:v>
      </x:c>
      <x:c r="M74" s="16" t="str"/>
    </x:row>
    <x:row r="75" ht="66" customHeight="1">
      <x:c r="A75" s="16" t="str">
        <x:v>Day 18</x:v>
      </x:c>
      <x:c r="B75" s="16" t="str">
        <x:v>Clarification branch and return state</x:v>
      </x:c>
      <x:c r="C75" s="16" t="str">
        <x:v>Let a Teacher open one clarification and return to the exact lesson position.</x:v>
      </x:c>
      <x:c r="D75" s="16" t="str">
        <x:v>Poojitha</x:v>
      </x:c>
      <x:c r="E75" s="16" t="str">
        <x:v>Database</x:v>
      </x:c>
      <x:c r="F75" s="16" t="str">
        <x:v>Database — Persist branch ownership, resource binding and return-state reference.</x:v>
      </x:c>
      <x:c r="G75" s="16" t="str">
        <x:v>Reviewed schema, migration or data change for Clarification branch and return state</x:v>
      </x:c>
      <x:c r="H75" s="16" t="str">
        <x:v>The schema/query change runs locally, preserves integrity and is ready for QA.</x:v>
      </x:c>
      <x:c r="I75" s="16" t="str">
        <x:v>Teacher branch preview returns to the same screen, reveal and supported interaction state; persisted run verification is repeated on Day 23. Learner payload omits private branches.</x:v>
      </x:c>
      <x:c r="J75" s="16" t="str">
        <x:v>Planned</x:v>
      </x:c>
      <x:c r="K75" s="17" t="n">
        <x:v>0</x:v>
      </x:c>
      <x:c r="L75" s="16" t="str">
        <x:v>Day 17; preview harness only until Day 23 release player</x:v>
      </x:c>
      <x:c r="M75" s="16" t="str"/>
    </x:row>
    <x:row r="76" ht="66" customHeight="1">
      <x:c r="A76" s="16" t="str">
        <x:v>Day 18</x:v>
      </x:c>
      <x:c r="B76" s="16" t="str">
        <x:v>Clarification branch and return state</x:v>
      </x:c>
      <x:c r="C76" s="16" t="str">
        <x:v>Let a Teacher open one clarification and return to the exact lesson position.</x:v>
      </x:c>
      <x:c r="D76" s="16" t="str">
        <x:v>Dhanunjaya</x:v>
      </x:c>
      <x:c r="E76" s="16" t="str">
        <x:v>Frontend</x:v>
      </x:c>
      <x:c r="F76" s="16" t="str">
        <x:v>Frontend — Build branch entry, branch view and Return controls.</x:v>
      </x:c>
      <x:c r="G76" s="16" t="str">
        <x:v>Working UI/component for Clarification branch and return state</x:v>
      </x:c>
      <x:c r="H76" s="16" t="str">
        <x:v>The UI works in the agreed flow and is ready for QA.</x:v>
      </x:c>
      <x:c r="I76" s="16" t="str">
        <x:v>Teacher branch preview returns to the same screen, reveal and supported interaction state; persisted run verification is repeated on Day 23. Learner payload omits private branches.</x:v>
      </x:c>
      <x:c r="J76" s="16" t="str">
        <x:v>Planned</x:v>
      </x:c>
      <x:c r="K76" s="17" t="n">
        <x:v>0</x:v>
      </x:c>
      <x:c r="L76" s="16" t="str">
        <x:v>Day 17; preview harness only until Day 23 release player</x:v>
      </x:c>
      <x:c r="M76" s="16" t="str"/>
    </x:row>
    <x:row r="77" ht="66" customHeight="1">
      <x:c r="A77" s="16" t="str">
        <x:v>Day 18</x:v>
      </x:c>
      <x:c r="B77" s="16" t="str">
        <x:v>Clarification branch and return state</x:v>
      </x:c>
      <x:c r="C77" s="16" t="str">
        <x:v>Let a Teacher open one clarification and return to the exact lesson position.</x:v>
      </x:c>
      <x:c r="D77" s="16" t="str">
        <x:v>Teja</x:v>
      </x:c>
      <x:c r="E77" s="16" t="str">
        <x:v>QA</x:v>
      </x:c>
      <x:c r="F77" s="16" t="str">
        <x:v>QA — Test entry, interaction, return, reveal-position retention and failure recovery.</x:v>
      </x:c>
      <x:c r="G77" s="16" t="str">
        <x:v>Executed test results and defect update for Clarification branch and return state</x:v>
      </x:c>
      <x:c r="H77" s="16" t="str">
        <x:v>Planned tests are executed, and pass/fail evidence and defects are recorded.</x:v>
      </x:c>
      <x:c r="I77" s="16" t="str">
        <x:v>Teacher branch preview returns to the same screen, reveal and supported interaction state; persisted run verification is repeated on Day 23. Learner payload omits private branches.</x:v>
      </x:c>
      <x:c r="J77" s="16" t="str">
        <x:v>Planned</x:v>
      </x:c>
      <x:c r="K77" s="17" t="n">
        <x:v>0</x:v>
      </x:c>
      <x:c r="L77" s="16" t="str">
        <x:v>Day 17; preview harness only until Day 23 release player</x:v>
      </x:c>
      <x:c r="M77" s="16" t="str"/>
    </x:row>
    <x:row r="78" ht="66" customHeight="1">
      <x:c r="A78" s="16" t="str">
        <x:v>Day 19</x:v>
      </x:c>
      <x:c r="B78" s="16" t="str">
        <x:v>Security and accessibility hardening</x:v>
      </x:c>
      <x:c r="C78" s="16" t="str">
        <x:v>Protect private fields and make the MVP usable with keyboard and classroom projection.</x:v>
      </x:c>
      <x:c r="D78" s="16" t="str">
        <x:v>Rahul</x:v>
      </x:c>
      <x:c r="E78" s="16" t="str">
        <x:v>Frontend</x:v>
      </x:c>
      <x:c r="F78" s="16" t="str">
        <x:v>Frontend — Fix keyboard flow, labels, contrast, focus and projection readability.</x:v>
      </x:c>
      <x:c r="G78" s="16" t="str">
        <x:v>Working UI/component for Security and accessibility hardening</x:v>
      </x:c>
      <x:c r="H78" s="16" t="str">
        <x:v>The UI works in the agreed flow and is ready for QA.</x:v>
      </x:c>
      <x:c r="I78" s="16" t="str">
        <x:v>Signed-in Author/Teacher/Student cases verify client/school/scope restrictions, direct API and asset denial, private metadata omission, keyboard/focus and projection readability; no critical blocker remains.</x:v>
      </x:c>
      <x:c r="J78" s="16" t="str">
        <x:v>Planned</x:v>
      </x:c>
      <x:c r="K78" s="17" t="n">
        <x:v>0</x:v>
      </x:c>
      <x:c r="L78" s="16" t="str">
        <x:v>Days 11–18</x:v>
      </x:c>
      <x:c r="M78" s="16" t="str">
        <x:v>Access checks start on Day 3 and apply to every API from first implementation; Day 19 consolidates hardening, not first security implementation.</x:v>
      </x:c>
    </x:row>
    <x:row r="79" ht="66" customHeight="1">
      <x:c r="A79" s="16" t="str">
        <x:v>Day 19</x:v>
      </x:c>
      <x:c r="B79" s="16" t="str">
        <x:v>Security and accessibility hardening</x:v>
      </x:c>
      <x:c r="C79" s="16" t="str">
        <x:v>Protect private fields and make the MVP usable with keyboard and classroom projection.</x:v>
      </x:c>
      <x:c r="D79" s="16" t="str">
        <x:v>Poojitha</x:v>
      </x:c>
      <x:c r="E79" s="16" t="str">
        <x:v>Backend</x:v>
      </x:c>
      <x:c r="F79" s="16" t="str">
        <x:v>Backend — Implement learner-safe/teacher-safe response projections and denial handling.</x:v>
      </x:c>
      <x:c r="G79" s="16" t="str">
        <x:v>Working API/service for Security and accessibility hardening</x:v>
      </x:c>
      <x:c r="H79" s="16" t="str">
        <x:v>The service/API works with permissions and error handling and is ready for QA.</x:v>
      </x:c>
      <x:c r="I79" s="16" t="str">
        <x:v>Signed-in Author/Teacher/Student cases verify client/school/scope restrictions, direct API and asset denial, private metadata omission, keyboard/focus and projection readability; no critical blocker remains.</x:v>
      </x:c>
      <x:c r="J79" s="16" t="str">
        <x:v>Planned</x:v>
      </x:c>
      <x:c r="K79" s="17" t="n">
        <x:v>0</x:v>
      </x:c>
      <x:c r="L79" s="16" t="str">
        <x:v>Days 11–18</x:v>
      </x:c>
      <x:c r="M79" s="16" t="str">
        <x:v>Access checks start on Day 3 and apply to every API from first implementation; Day 19 consolidates hardening, not first security implementation.</x:v>
      </x:c>
    </x:row>
    <x:row r="80" ht="66" customHeight="1">
      <x:c r="A80" s="16" t="str">
        <x:v>Day 19</x:v>
      </x:c>
      <x:c r="B80" s="16" t="str">
        <x:v>Security and accessibility hardening</x:v>
      </x:c>
      <x:c r="C80" s="16" t="str">
        <x:v>Protect private fields and make the MVP usable with keyboard and classroom projection.</x:v>
      </x:c>
      <x:c r="D80" s="16" t="str">
        <x:v>Dhanunjaya</x:v>
      </x:c>
      <x:c r="E80" s="16" t="str">
        <x:v>Database</x:v>
      </x:c>
      <x:c r="F80" s="16" t="str">
        <x:v>Database — Review tenant constraints and RLS/grant expectations for Studio tables.</x:v>
      </x:c>
      <x:c r="G80" s="16" t="str">
        <x:v>Reviewed schema, migration or data change for Security and accessibility hardening</x:v>
      </x:c>
      <x:c r="H80" s="16" t="str">
        <x:v>The schema/query change runs locally, preserves integrity and is ready for QA.</x:v>
      </x:c>
      <x:c r="I80" s="16" t="str">
        <x:v>Signed-in Author/Teacher/Student cases verify client/school/scope restrictions, direct API and asset denial, private metadata omission, keyboard/focus and projection readability; no critical blocker remains.</x:v>
      </x:c>
      <x:c r="J80" s="16" t="str">
        <x:v>Planned</x:v>
      </x:c>
      <x:c r="K80" s="17" t="n">
        <x:v>0</x:v>
      </x:c>
      <x:c r="L80" s="16" t="str">
        <x:v>Days 11–18</x:v>
      </x:c>
      <x:c r="M80" s="16" t="str">
        <x:v>Access checks start on Day 3 and apply to every API from first implementation; Day 19 consolidates hardening, not first security implementation.</x:v>
      </x:c>
    </x:row>
    <x:row r="81" ht="66" customHeight="1">
      <x:c r="A81" s="16" t="str">
        <x:v>Day 19</x:v>
      </x:c>
      <x:c r="B81" s="16" t="str">
        <x:v>Security and accessibility hardening</x:v>
      </x:c>
      <x:c r="C81" s="16" t="str">
        <x:v>Protect private fields and make the MVP usable with keyboard and classroom projection.</x:v>
      </x:c>
      <x:c r="D81" s="16" t="str">
        <x:v>Teja</x:v>
      </x:c>
      <x:c r="E81" s="16" t="str">
        <x:v>QA</x:v>
      </x:c>
      <x:c r="F81" s="16" t="str">
        <x:v>QA — Run permission, payload-leak, keyboard, contrast and responsive checks.</x:v>
      </x:c>
      <x:c r="G81" s="16" t="str">
        <x:v>Executed test results and defect update for Security and accessibility hardening</x:v>
      </x:c>
      <x:c r="H81" s="16" t="str">
        <x:v>Planned tests are executed, and pass/fail evidence and defects are recorded.</x:v>
      </x:c>
      <x:c r="I81" s="16" t="str">
        <x:v>Signed-in Author/Teacher/Student cases verify client/school/scope restrictions, direct API and asset denial, private metadata omission, keyboard/focus and projection readability; no critical blocker remains.</x:v>
      </x:c>
      <x:c r="J81" s="16" t="str">
        <x:v>Planned</x:v>
      </x:c>
      <x:c r="K81" s="17" t="n">
        <x:v>0</x:v>
      </x:c>
      <x:c r="L81" s="16" t="str">
        <x:v>Days 11–18</x:v>
      </x:c>
      <x:c r="M81" s="16" t="str">
        <x:v>Access checks start on Day 3 and apply to every API from first implementation; Day 19 consolidates hardening, not first security implementation.</x:v>
      </x:c>
    </x:row>
    <x:row r="82" ht="66" customHeight="1">
      <x:c r="A82" s="16" t="str">
        <x:v>Day 20</x:v>
      </x:c>
      <x:c r="B82" s="16" t="str">
        <x:v>Author MVP review</x:v>
      </x:c>
      <x:c r="C82" s="16" t="str">
        <x:v>Prove the Author can build a screen and reuse an approved resource end to end.</x:v>
      </x:c>
      <x:c r="D82" s="16" t="str">
        <x:v>Rahul</x:v>
      </x:c>
      <x:c r="E82" s="16" t="str">
        <x:v>Database</x:v>
      </x:c>
      <x:c r="F82" s="16" t="str">
        <x:v>Database — Verify saved draft, version and binding data for the scenario.</x:v>
      </x:c>
      <x:c r="G82" s="16" t="str">
        <x:v>Reviewed schema, migration or data change for Author MVP review</x:v>
      </x:c>
      <x:c r="H82" s="16" t="str">
        <x:v>The schema/query change runs locally, preserves integrity and is ready for QA.</x:v>
      </x:c>
      <x:c r="I82" s="16" t="str">
        <x:v>Author creates, saves, reloads and previews a screen with an approved exact-version resource; validation findings and draft status are visible. This is an authoring gate, not production release approval.</x:v>
      </x:c>
      <x:c r="J82" s="16" t="str">
        <x:v>Planned</x:v>
      </x:c>
      <x:c r="K82" s="17" t="n">
        <x:v>0</x:v>
      </x:c>
      <x:c r="L82" s="16" t="str">
        <x:v>Days 11–19</x:v>
      </x:c>
      <x:c r="M82" s="16" t="str"/>
    </x:row>
    <x:row r="83" ht="66" customHeight="1">
      <x:c r="A83" s="16" t="str">
        <x:v>Day 20</x:v>
      </x:c>
      <x:c r="B83" s="16" t="str">
        <x:v>Author MVP review</x:v>
      </x:c>
      <x:c r="C83" s="16" t="str">
        <x:v>Prove the Author can build a screen and reuse an approved resource end to end.</x:v>
      </x:c>
      <x:c r="D83" s="16" t="str">
        <x:v>Poojitha</x:v>
      </x:c>
      <x:c r="E83" s="16" t="str">
        <x:v>Frontend</x:v>
      </x:c>
      <x:c r="F83" s="16" t="str">
        <x:v>Frontend — Complete the Author journey and fix usability blockers.</x:v>
      </x:c>
      <x:c r="G83" s="16" t="str">
        <x:v>Working UI/component for Author MVP review</x:v>
      </x:c>
      <x:c r="H83" s="16" t="str">
        <x:v>The UI works in the agreed flow and is ready for QA.</x:v>
      </x:c>
      <x:c r="I83" s="16" t="str">
        <x:v>Author creates, saves, reloads and previews a screen with an approved exact-version resource; validation findings and draft status are visible. This is an authoring gate, not production release approval.</x:v>
      </x:c>
      <x:c r="J83" s="16" t="str">
        <x:v>Planned</x:v>
      </x:c>
      <x:c r="K83" s="17" t="n">
        <x:v>0</x:v>
      </x:c>
      <x:c r="L83" s="16" t="str">
        <x:v>Days 11–19</x:v>
      </x:c>
      <x:c r="M83" s="16" t="str"/>
    </x:row>
    <x:row r="84" ht="66" customHeight="1">
      <x:c r="A84" s="16" t="str">
        <x:v>Day 20</x:v>
      </x:c>
      <x:c r="B84" s="16" t="str">
        <x:v>Author MVP review</x:v>
      </x:c>
      <x:c r="C84" s="16" t="str">
        <x:v>Prove the Author can build a screen and reuse an approved resource end to end.</x:v>
      </x:c>
      <x:c r="D84" s="16" t="str">
        <x:v>Dhanunjaya</x:v>
      </x:c>
      <x:c r="E84" s="16" t="str">
        <x:v>Backend</x:v>
      </x:c>
      <x:c r="F84" s="16" t="str">
        <x:v>Backend — Complete end-to-end orchestration and fix API blockers.</x:v>
      </x:c>
      <x:c r="G84" s="16" t="str">
        <x:v>Working API/service for Author MVP review</x:v>
      </x:c>
      <x:c r="H84" s="16" t="str">
        <x:v>The service/API works with permissions and error handling and is ready for QA.</x:v>
      </x:c>
      <x:c r="I84" s="16" t="str">
        <x:v>Author creates, saves, reloads and previews a screen with an approved exact-version resource; validation findings and draft status are visible. This is an authoring gate, not production release approval.</x:v>
      </x:c>
      <x:c r="J84" s="16" t="str">
        <x:v>Planned</x:v>
      </x:c>
      <x:c r="K84" s="17" t="n">
        <x:v>0</x:v>
      </x:c>
      <x:c r="L84" s="16" t="str">
        <x:v>Days 11–19</x:v>
      </x:c>
      <x:c r="M84" s="16" t="str"/>
    </x:row>
    <x:row r="85" ht="66" customHeight="1">
      <x:c r="A85" s="16" t="str">
        <x:v>Day 20</x:v>
      </x:c>
      <x:c r="B85" s="16" t="str">
        <x:v>Author MVP review</x:v>
      </x:c>
      <x:c r="C85" s="16" t="str">
        <x:v>Prove the Author can build a screen and reuse an approved resource end to end.</x:v>
      </x:c>
      <x:c r="D85" s="16" t="str">
        <x:v>Teja</x:v>
      </x:c>
      <x:c r="E85" s="16" t="str">
        <x:v>QA</x:v>
      </x:c>
      <x:c r="F85" s="16" t="str">
        <x:v>QA — Run the Author acceptance scenario and record defects/evidence.</x:v>
      </x:c>
      <x:c r="G85" s="16" t="str">
        <x:v>Executed test results and defect update for Author MVP review</x:v>
      </x:c>
      <x:c r="H85" s="16" t="str">
        <x:v>Planned tests are executed, and pass/fail evidence and defects are recorded.</x:v>
      </x:c>
      <x:c r="I85" s="16" t="str">
        <x:v>Author creates, saves, reloads and previews a screen with an approved exact-version resource; validation findings and draft status are visible. This is an authoring gate, not production release approval.</x:v>
      </x:c>
      <x:c r="J85" s="16" t="str">
        <x:v>Planned</x:v>
      </x:c>
      <x:c r="K85" s="17" t="n">
        <x:v>0</x:v>
      </x:c>
      <x:c r="L85" s="16" t="str">
        <x:v>Days 11–19</x:v>
      </x:c>
      <x:c r="M85" s="16" t="str"/>
    </x:row>
    <x:row r="86" ht="66" customHeight="1">
      <x:c r="A86" s="16" t="str">
        <x:v>Day 21</x:v>
      </x:c>
      <x:c r="B86" s="16" t="str">
        <x:v>Academic authorization workflow</x:v>
      </x:c>
      <x:c r="C86" s="16" t="str">
        <x:v>Record who authorizes which exact lesson revision and scope.</x:v>
      </x:c>
      <x:c r="D86" s="16" t="str">
        <x:v>Rahul</x:v>
      </x:c>
      <x:c r="E86" s="16" t="str">
        <x:v>Backend</x:v>
      </x:c>
      <x:c r="F86" s="16" t="str">
        <x:v>Backend — Implement authorization command, permissions and rejection handling.</x:v>
      </x:c>
      <x:c r="G86" s="16" t="str">
        <x:v>Working API/service for Academic authorization workflow</x:v>
      </x:c>
      <x:c r="H86" s="16" t="str">
        <x:v>The service/API works with permissions and error handling and is ready for QA.</x:v>
      </x:c>
      <x:c r="I86" s="16" t="str">
        <x:v>Only a scoped permitted Author can approve an exact validated lesson revision/hash; record rationale, timestamp and validator version. Changes invalidate prior approval for the changed revision.</x:v>
      </x:c>
      <x:c r="J86" s="16" t="str">
        <x:v>Planned</x:v>
      </x:c>
      <x:c r="K86" s="17" t="n">
        <x:v>0</x:v>
      </x:c>
      <x:c r="L86" s="16" t="str">
        <x:v>Day 20</x:v>
      </x:c>
      <x:c r="M86" s="16" t="str"/>
    </x:row>
    <x:row r="87" ht="66" customHeight="1">
      <x:c r="A87" s="16" t="str">
        <x:v>Day 21</x:v>
      </x:c>
      <x:c r="B87" s="16" t="str">
        <x:v>Academic authorization workflow</x:v>
      </x:c>
      <x:c r="C87" s="16" t="str">
        <x:v>Record who authorizes which exact lesson revision and scope.</x:v>
      </x:c>
      <x:c r="D87" s="16" t="str">
        <x:v>Poojitha</x:v>
      </x:c>
      <x:c r="E87" s="16" t="str">
        <x:v>Database</x:v>
      </x:c>
      <x:c r="F87" s="16" t="str">
        <x:v>Database — Persist authorizer, exact revision, scope, decision and timestamp.</x:v>
      </x:c>
      <x:c r="G87" s="16" t="str">
        <x:v>Reviewed schema, migration or data change for Academic authorization workflow</x:v>
      </x:c>
      <x:c r="H87" s="16" t="str">
        <x:v>The schema/query change runs locally, preserves integrity and is ready for QA.</x:v>
      </x:c>
      <x:c r="I87" s="16" t="str">
        <x:v>Only a scoped permitted Author can approve an exact validated lesson revision/hash; record rationale, timestamp and validator version. Changes invalidate prior approval for the changed revision.</x:v>
      </x:c>
      <x:c r="J87" s="16" t="str">
        <x:v>Planned</x:v>
      </x:c>
      <x:c r="K87" s="17" t="n">
        <x:v>0</x:v>
      </x:c>
      <x:c r="L87" s="16" t="str">
        <x:v>Day 20</x:v>
      </x:c>
      <x:c r="M87" s="16" t="str"/>
    </x:row>
    <x:row r="88" ht="66" customHeight="1">
      <x:c r="A88" s="16" t="str">
        <x:v>Day 21</x:v>
      </x:c>
      <x:c r="B88" s="16" t="str">
        <x:v>Academic authorization workflow</x:v>
      </x:c>
      <x:c r="C88" s="16" t="str">
        <x:v>Record who authorizes which exact lesson revision and scope.</x:v>
      </x:c>
      <x:c r="D88" s="16" t="str">
        <x:v>Dhanunjaya</x:v>
      </x:c>
      <x:c r="E88" s="16" t="str">
        <x:v>Frontend</x:v>
      </x:c>
      <x:c r="F88" s="16" t="str">
        <x:v>Frontend — Build review summary, authorize/reject action and reason display.</x:v>
      </x:c>
      <x:c r="G88" s="16" t="str">
        <x:v>Working UI/component for Academic authorization workflow</x:v>
      </x:c>
      <x:c r="H88" s="16" t="str">
        <x:v>The UI works in the agreed flow and is ready for QA.</x:v>
      </x:c>
      <x:c r="I88" s="16" t="str">
        <x:v>Only a scoped permitted Author can approve an exact validated lesson revision/hash; record rationale, timestamp and validator version. Changes invalidate prior approval for the changed revision.</x:v>
      </x:c>
      <x:c r="J88" s="16" t="str">
        <x:v>Planned</x:v>
      </x:c>
      <x:c r="K88" s="17" t="n">
        <x:v>0</x:v>
      </x:c>
      <x:c r="L88" s="16" t="str">
        <x:v>Day 20</x:v>
      </x:c>
      <x:c r="M88" s="16" t="str"/>
    </x:row>
    <x:row r="89" ht="66" customHeight="1">
      <x:c r="A89" s="16" t="str">
        <x:v>Day 21</x:v>
      </x:c>
      <x:c r="B89" s="16" t="str">
        <x:v>Academic authorization workflow</x:v>
      </x:c>
      <x:c r="C89" s="16" t="str">
        <x:v>Record who authorizes which exact lesson revision and scope.</x:v>
      </x:c>
      <x:c r="D89" s="16" t="str">
        <x:v>Teja</x:v>
      </x:c>
      <x:c r="E89" s="16" t="str">
        <x:v>QA</x:v>
      </x:c>
      <x:c r="F89" s="16" t="str">
        <x:v>QA — Test permitted authorizer, denied roles, rejection and changed-draft reauthorization.</x:v>
      </x:c>
      <x:c r="G89" s="16" t="str">
        <x:v>Executed test results and defect update for Academic authorization workflow</x:v>
      </x:c>
      <x:c r="H89" s="16" t="str">
        <x:v>Planned tests are executed, and pass/fail evidence and defects are recorded.</x:v>
      </x:c>
      <x:c r="I89" s="16" t="str">
        <x:v>Only a scoped permitted Author can approve an exact validated lesson revision/hash; record rationale, timestamp and validator version. Changes invalidate prior approval for the changed revision.</x:v>
      </x:c>
      <x:c r="J89" s="16" t="str">
        <x:v>Planned</x:v>
      </x:c>
      <x:c r="K89" s="17" t="n">
        <x:v>0</x:v>
      </x:c>
      <x:c r="L89" s="16" t="str">
        <x:v>Day 20</x:v>
      </x:c>
      <x:c r="M89" s="16" t="str"/>
    </x:row>
    <x:row r="90" ht="66" customHeight="1">
      <x:c r="A90" s="16" t="str">
        <x:v>Day 22</x:v>
      </x:c>
      <x:c r="B90" s="16" t="str">
        <x:v>Immutable release manifest</x:v>
      </x:c>
      <x:c r="C90" s="16" t="str">
        <x:v>Publish a release that pins exact lesson and resource versions.</x:v>
      </x:c>
      <x:c r="D90" s="16" t="str">
        <x:v>Rahul</x:v>
      </x:c>
      <x:c r="E90" s="16" t="str">
        <x:v>Frontend</x:v>
      </x:c>
      <x:c r="F90" s="16" t="str">
        <x:v>Frontend — Build release-readiness summary and published-version display.</x:v>
      </x:c>
      <x:c r="G90" s="16" t="str">
        <x:v>Working UI/component for Immutable release manifest</x:v>
      </x:c>
      <x:c r="H90" s="16" t="str">
        <x:v>The UI works in the agreed flow and is ready for QA.</x:v>
      </x:c>
      <x:c r="I90" s="16" t="str">
        <x:v>Only authorized validated content publishes. Immutable manifest pins screen, binding, resource and dependency versions/hashes; concurrent draft changes cannot alter it.</x:v>
      </x:c>
      <x:c r="J90" s="16" t="str">
        <x:v>Planned</x:v>
      </x:c>
      <x:c r="K90" s="17" t="n">
        <x:v>0</x:v>
      </x:c>
      <x:c r="L90" s="16" t="str">
        <x:v>Day 21</x:v>
      </x:c>
      <x:c r="M90" s="16" t="str"/>
    </x:row>
    <x:row r="91" ht="66" customHeight="1">
      <x:c r="A91" s="16" t="str">
        <x:v>Day 22</x:v>
      </x:c>
      <x:c r="B91" s="16" t="str">
        <x:v>Immutable release manifest</x:v>
      </x:c>
      <x:c r="C91" s="16" t="str">
        <x:v>Publish a release that pins exact lesson and resource versions.</x:v>
      </x:c>
      <x:c r="D91" s="16" t="str">
        <x:v>Poojitha</x:v>
      </x:c>
      <x:c r="E91" s="16" t="str">
        <x:v>Backend</x:v>
      </x:c>
      <x:c r="F91" s="16" t="str">
        <x:v>Backend — Generate deterministic release manifest and block unapproved publication.</x:v>
      </x:c>
      <x:c r="G91" s="16" t="str">
        <x:v>Working API/service for Immutable release manifest</x:v>
      </x:c>
      <x:c r="H91" s="16" t="str">
        <x:v>The service/API works with permissions and error handling and is ready for QA.</x:v>
      </x:c>
      <x:c r="I91" s="16" t="str">
        <x:v>Only authorized validated content publishes. Immutable manifest pins screen, binding, resource and dependency versions/hashes; concurrent draft changes cannot alter it.</x:v>
      </x:c>
      <x:c r="J91" s="16" t="str">
        <x:v>Planned</x:v>
      </x:c>
      <x:c r="K91" s="17" t="n">
        <x:v>0</x:v>
      </x:c>
      <x:c r="L91" s="16" t="str">
        <x:v>Day 21</x:v>
      </x:c>
      <x:c r="M91" s="16" t="str"/>
    </x:row>
    <x:row r="92" ht="66" customHeight="1">
      <x:c r="A92" s="16" t="str">
        <x:v>Day 22</x:v>
      </x:c>
      <x:c r="B92" s="16" t="str">
        <x:v>Immutable release manifest</x:v>
      </x:c>
      <x:c r="C92" s="16" t="str">
        <x:v>Publish a release that pins exact lesson and resource versions.</x:v>
      </x:c>
      <x:c r="D92" s="16" t="str">
        <x:v>Dhanunjaya</x:v>
      </x:c>
      <x:c r="E92" s="16" t="str">
        <x:v>Database</x:v>
      </x:c>
      <x:c r="F92" s="16" t="str">
        <x:v>Database — Persist immutable release and exact release items/hashes.</x:v>
      </x:c>
      <x:c r="G92" s="16" t="str">
        <x:v>Reviewed schema, migration or data change for Immutable release manifest</x:v>
      </x:c>
      <x:c r="H92" s="16" t="str">
        <x:v>The schema/query change runs locally, preserves integrity and is ready for QA.</x:v>
      </x:c>
      <x:c r="I92" s="16" t="str">
        <x:v>Only authorized validated content publishes. Immutable manifest pins screen, binding, resource and dependency versions/hashes; concurrent draft changes cannot alter it.</x:v>
      </x:c>
      <x:c r="J92" s="16" t="str">
        <x:v>Planned</x:v>
      </x:c>
      <x:c r="K92" s="17" t="n">
        <x:v>0</x:v>
      </x:c>
      <x:c r="L92" s="16" t="str">
        <x:v>Day 21</x:v>
      </x:c>
      <x:c r="M92" s="16" t="str"/>
    </x:row>
    <x:row r="93" ht="66" customHeight="1">
      <x:c r="A93" s="16" t="str">
        <x:v>Day 22</x:v>
      </x:c>
      <x:c r="B93" s="16" t="str">
        <x:v>Immutable release manifest</x:v>
      </x:c>
      <x:c r="C93" s="16" t="str">
        <x:v>Publish a release that pins exact lesson and resource versions.</x:v>
      </x:c>
      <x:c r="D93" s="16" t="str">
        <x:v>Teja</x:v>
      </x:c>
      <x:c r="E93" s="16" t="str">
        <x:v>QA</x:v>
      </x:c>
      <x:c r="F93" s="16" t="str">
        <x:v>QA — Test publication, changed draft, manifest stability and rollback selection.</x:v>
      </x:c>
      <x:c r="G93" s="16" t="str">
        <x:v>Executed test results and defect update for Immutable release manifest</x:v>
      </x:c>
      <x:c r="H93" s="16" t="str">
        <x:v>Planned tests are executed, and pass/fail evidence and defects are recorded.</x:v>
      </x:c>
      <x:c r="I93" s="16" t="str">
        <x:v>Only authorized validated content publishes. Immutable manifest pins screen, binding, resource and dependency versions/hashes; concurrent draft changes cannot alter it.</x:v>
      </x:c>
      <x:c r="J93" s="16" t="str">
        <x:v>Planned</x:v>
      </x:c>
      <x:c r="K93" s="17" t="n">
        <x:v>0</x:v>
      </x:c>
      <x:c r="L93" s="16" t="str">
        <x:v>Day 21</x:v>
      </x:c>
      <x:c r="M93" s="16" t="str"/>
    </x:row>
    <x:row r="94" ht="66" customHeight="1">
      <x:c r="A94" s="16" t="str">
        <x:v>Day 23</x:v>
      </x:c>
      <x:c r="B94" s="16" t="str">
        <x:v>Teacher read-only release player</x:v>
      </x:c>
      <x:c r="C94" s="16" t="str">
        <x:v>Let a Teacher launch the approved release without editing canonical content.</x:v>
      </x:c>
      <x:c r="D94" s="16" t="str">
        <x:v>Rahul</x:v>
      </x:c>
      <x:c r="E94" s="16" t="str">
        <x:v>Database</x:v>
      </x:c>
      <x:c r="F94" s="16" t="str">
        <x:v>Database — Record release selection and minimal teaching-run identity.</x:v>
      </x:c>
      <x:c r="G94" s="16" t="str">
        <x:v>Reviewed schema, migration or data change for Teacher read-only release player</x:v>
      </x:c>
      <x:c r="H94" s="16" t="str">
        <x:v>The schema/query change runs locally, preserves integrity and is ready for QA.</x:v>
      </x:c>
      <x:c r="I94" s="16" t="str">
        <x:v>Teacher launches an approved release pinned to a scoped teaching run; student-safe projection excludes private catalog/notes/keys. Branch return and publication during a live run preserve state; canonical writes are denied.</x:v>
      </x:c>
      <x:c r="J94" s="16" t="str">
        <x:v>Planned</x:v>
      </x:c>
      <x:c r="K94" s="17" t="n">
        <x:v>0</x:v>
      </x:c>
      <x:c r="L94" s="16" t="str">
        <x:v>Day 22</x:v>
      </x:c>
      <x:c r="M94" s="16" t="str">
        <x:v>Student role privacy is mandatory in MVP. Durable response analytics and feedback work queues are follow-up scope.</x:v>
      </x:c>
    </x:row>
    <x:row r="95" ht="66" customHeight="1">
      <x:c r="A95" s="16" t="str">
        <x:v>Day 23</x:v>
      </x:c>
      <x:c r="B95" s="16" t="str">
        <x:v>Teacher read-only release player</x:v>
      </x:c>
      <x:c r="C95" s="16" t="str">
        <x:v>Let a Teacher launch the approved release without editing canonical content.</x:v>
      </x:c>
      <x:c r="D95" s="16" t="str">
        <x:v>Poojitha</x:v>
      </x:c>
      <x:c r="E95" s="16" t="str">
        <x:v>Frontend</x:v>
      </x:c>
      <x:c r="F95" s="16" t="str">
        <x:v>Frontend — Build Teacher player navigation, notes boundary and branch access.</x:v>
      </x:c>
      <x:c r="G95" s="16" t="str">
        <x:v>Working UI/component for Teacher read-only release player</x:v>
      </x:c>
      <x:c r="H95" s="16" t="str">
        <x:v>The UI works in the agreed flow and is ready for QA.</x:v>
      </x:c>
      <x:c r="I95" s="16" t="str">
        <x:v>Teacher launches an approved release pinned to a scoped teaching run; student-safe projection excludes private catalog/notes/keys. Branch return and publication during a live run preserve state; canonical writes are denied.</x:v>
      </x:c>
      <x:c r="J95" s="16" t="str">
        <x:v>Planned</x:v>
      </x:c>
      <x:c r="K95" s="17" t="n">
        <x:v>0</x:v>
      </x:c>
      <x:c r="L95" s="16" t="str">
        <x:v>Day 22</x:v>
      </x:c>
      <x:c r="M95" s="16" t="str">
        <x:v>Student role privacy is mandatory in MVP. Durable response analytics and feedback work queues are follow-up scope.</x:v>
      </x:c>
    </x:row>
    <x:row r="96" ht="66" customHeight="1">
      <x:c r="A96" s="16" t="str">
        <x:v>Day 23</x:v>
      </x:c>
      <x:c r="B96" s="16" t="str">
        <x:v>Teacher read-only release player</x:v>
      </x:c>
      <x:c r="C96" s="16" t="str">
        <x:v>Let a Teacher launch the approved release without editing canonical content.</x:v>
      </x:c>
      <x:c r="D96" s="16" t="str">
        <x:v>Dhanunjaya</x:v>
      </x:c>
      <x:c r="E96" s="16" t="str">
        <x:v>Backend</x:v>
      </x:c>
      <x:c r="F96" s="16" t="str">
        <x:v>Backend — Serve release-pinned Teacher projections and block canonical writes.</x:v>
      </x:c>
      <x:c r="G96" s="16" t="str">
        <x:v>Working API/service for Teacher read-only release player</x:v>
      </x:c>
      <x:c r="H96" s="16" t="str">
        <x:v>The service/API works with permissions and error handling and is ready for QA.</x:v>
      </x:c>
      <x:c r="I96" s="16" t="str">
        <x:v>Teacher launches an approved release pinned to a scoped teaching run; student-safe projection excludes private catalog/notes/keys. Branch return and publication during a live run preserve state; canonical writes are denied.</x:v>
      </x:c>
      <x:c r="J96" s="16" t="str">
        <x:v>Planned</x:v>
      </x:c>
      <x:c r="K96" s="17" t="n">
        <x:v>0</x:v>
      </x:c>
      <x:c r="L96" s="16" t="str">
        <x:v>Day 22</x:v>
      </x:c>
      <x:c r="M96" s="16" t="str">
        <x:v>Student role privacy is mandatory in MVP. Durable response analytics and feedback work queues are follow-up scope.</x:v>
      </x:c>
    </x:row>
    <x:row r="97" ht="66" customHeight="1">
      <x:c r="A97" s="16" t="str">
        <x:v>Day 23</x:v>
      </x:c>
      <x:c r="B97" s="16" t="str">
        <x:v>Teacher read-only release player</x:v>
      </x:c>
      <x:c r="C97" s="16" t="str">
        <x:v>Let a Teacher launch the approved release without editing canonical content.</x:v>
      </x:c>
      <x:c r="D97" s="16" t="str">
        <x:v>Teja</x:v>
      </x:c>
      <x:c r="E97" s="16" t="str">
        <x:v>QA</x:v>
      </x:c>
      <x:c r="F97" s="16" t="str">
        <x:v>QA — Test approved launch, denied draft launch, direct write denial and branch return.</x:v>
      </x:c>
      <x:c r="G97" s="16" t="str">
        <x:v>Executed test results and defect update for Teacher read-only release player</x:v>
      </x:c>
      <x:c r="H97" s="16" t="str">
        <x:v>Planned tests are executed, and pass/fail evidence and defects are recorded.</x:v>
      </x:c>
      <x:c r="I97" s="16" t="str">
        <x:v>Teacher launches an approved release pinned to a scoped teaching run; student-safe projection excludes private catalog/notes/keys. Branch return and publication during a live run preserve state; canonical writes are denied.</x:v>
      </x:c>
      <x:c r="J97" s="16" t="str">
        <x:v>Planned</x:v>
      </x:c>
      <x:c r="K97" s="17" t="n">
        <x:v>0</x:v>
      </x:c>
      <x:c r="L97" s="16" t="str">
        <x:v>Day 22</x:v>
      </x:c>
      <x:c r="M97" s="16" t="str">
        <x:v>Student role privacy is mandatory in MVP. Durable response analytics and feedback work queues are follow-up scope.</x:v>
      </x:c>
    </x:row>
    <x:row r="98" ht="66" customHeight="1">
      <x:c r="A98" s="16" t="str">
        <x:v>Day 24</x:v>
      </x:c>
      <x:c r="B98" s="16" t="str">
        <x:v>Representative pilot lesson migration</x:v>
      </x:c>
      <x:c r="C98" s="16" t="str">
        <x:v>Move one reviewed pilot lesson slice into governed Studio drafts.</x:v>
      </x:c>
      <x:c r="D98" s="16" t="str">
        <x:v>Rahul</x:v>
      </x:c>
      <x:c r="E98" s="16" t="str">
        <x:v>Backend</x:v>
      </x:c>
      <x:c r="F98" s="16" t="str">
        <x:v>Backend — Build the repeatable migration/import command for the selected slice.</x:v>
      </x:c>
      <x:c r="G98" s="16" t="str">
        <x:v>Working API/service for Representative pilot lesson migration</x:v>
      </x:c>
      <x:c r="H98" s="16" t="str">
        <x:v>The service/API works with permissions and error handling and is ready for QA.</x:v>
      </x:c>
      <x:c r="I98" s="16" t="str">
        <x:v>An available reviewed source slice imports as a draft with provenance, content/order/resource comparison and unsupported-item report. If pilot source is unavailable, use an explicitly labeled reviewed fixture; do not claim 523 branches migrated.</x:v>
      </x:c>
      <x:c r="J98" s="16" t="str">
        <x:v>Planned</x:v>
      </x:c>
      <x:c r="K98" s="17" t="n">
        <x:v>0</x:v>
      </x:c>
      <x:c r="L98" s="16" t="str">
        <x:v>Days 17 and 22; source access/inventory confirmed on Day 1</x:v>
      </x:c>
      <x:c r="M98" s="16" t="str"/>
    </x:row>
    <x:row r="99" ht="66" customHeight="1">
      <x:c r="A99" s="16" t="str">
        <x:v>Day 24</x:v>
      </x:c>
      <x:c r="B99" s="16" t="str">
        <x:v>Representative pilot lesson migration</x:v>
      </x:c>
      <x:c r="C99" s="16" t="str">
        <x:v>Move one reviewed pilot lesson slice into governed Studio drafts.</x:v>
      </x:c>
      <x:c r="D99" s="16" t="str">
        <x:v>Poojitha</x:v>
      </x:c>
      <x:c r="E99" s="16" t="str">
        <x:v>Database</x:v>
      </x:c>
      <x:c r="F99" s="16" t="str">
        <x:v>Database — Map source IDs to lesson, screen, resource and binding records.</x:v>
      </x:c>
      <x:c r="G99" s="16" t="str">
        <x:v>Reviewed schema, migration or data change for Representative pilot lesson migration</x:v>
      </x:c>
      <x:c r="H99" s="16" t="str">
        <x:v>The schema/query change runs locally, preserves integrity and is ready for QA.</x:v>
      </x:c>
      <x:c r="I99" s="16" t="str">
        <x:v>An available reviewed source slice imports as a draft with provenance, content/order/resource comparison and unsupported-item report. If pilot source is unavailable, use an explicitly labeled reviewed fixture; do not claim 523 branches migrated.</x:v>
      </x:c>
      <x:c r="J99" s="16" t="str">
        <x:v>Planned</x:v>
      </x:c>
      <x:c r="K99" s="17" t="n">
        <x:v>0</x:v>
      </x:c>
      <x:c r="L99" s="16" t="str">
        <x:v>Days 17 and 22; source access/inventory confirmed on Day 1</x:v>
      </x:c>
      <x:c r="M99" s="16" t="str"/>
    </x:row>
    <x:row r="100" ht="66" customHeight="1">
      <x:c r="A100" s="16" t="str">
        <x:v>Day 24</x:v>
      </x:c>
      <x:c r="B100" s="16" t="str">
        <x:v>Representative pilot lesson migration</x:v>
      </x:c>
      <x:c r="C100" s="16" t="str">
        <x:v>Move one reviewed pilot lesson slice into governed Studio drafts.</x:v>
      </x:c>
      <x:c r="D100" s="16" t="str">
        <x:v>Dhanunjaya</x:v>
      </x:c>
      <x:c r="E100" s="16" t="str">
        <x:v>Frontend</x:v>
      </x:c>
      <x:c r="F100" s="16" t="str">
        <x:v>Frontend — Review migrated screens and map unsupported visual/layout items.</x:v>
      </x:c>
      <x:c r="G100" s="16" t="str">
        <x:v>Working UI/component for Representative pilot lesson migration</x:v>
      </x:c>
      <x:c r="H100" s="16" t="str">
        <x:v>The UI works in the agreed flow and is ready for QA.</x:v>
      </x:c>
      <x:c r="I100" s="16" t="str">
        <x:v>An available reviewed source slice imports as a draft with provenance, content/order/resource comparison and unsupported-item report. If pilot source is unavailable, use an explicitly labeled reviewed fixture; do not claim 523 branches migrated.</x:v>
      </x:c>
      <x:c r="J100" s="16" t="str">
        <x:v>Planned</x:v>
      </x:c>
      <x:c r="K100" s="17" t="n">
        <x:v>0</x:v>
      </x:c>
      <x:c r="L100" s="16" t="str">
        <x:v>Days 17 and 22; source access/inventory confirmed on Day 1</x:v>
      </x:c>
      <x:c r="M100" s="16" t="str"/>
    </x:row>
    <x:row r="101" ht="66" customHeight="1">
      <x:c r="A101" s="16" t="str">
        <x:v>Day 24</x:v>
      </x:c>
      <x:c r="B101" s="16" t="str">
        <x:v>Representative pilot lesson migration</x:v>
      </x:c>
      <x:c r="C101" s="16" t="str">
        <x:v>Move one reviewed pilot lesson slice into governed Studio drafts.</x:v>
      </x:c>
      <x:c r="D101" s="16" t="str">
        <x:v>Teja</x:v>
      </x:c>
      <x:c r="E101" s="16" t="str">
        <x:v>QA</x:v>
      </x:c>
      <x:c r="F101" s="16" t="str">
        <x:v>QA — Compare migrated content, order, mappings and role visibility with the source.</x:v>
      </x:c>
      <x:c r="G101" s="16" t="str">
        <x:v>Executed test results and defect update for Representative pilot lesson migration</x:v>
      </x:c>
      <x:c r="H101" s="16" t="str">
        <x:v>Planned tests are executed, and pass/fail evidence and defects are recorded.</x:v>
      </x:c>
      <x:c r="I101" s="16" t="str">
        <x:v>An available reviewed source slice imports as a draft with provenance, content/order/resource comparison and unsupported-item report. If pilot source is unavailable, use an explicitly labeled reviewed fixture; do not claim 523 branches migrated.</x:v>
      </x:c>
      <x:c r="J101" s="16" t="str">
        <x:v>Planned</x:v>
      </x:c>
      <x:c r="K101" s="17" t="n">
        <x:v>0</x:v>
      </x:c>
      <x:c r="L101" s="16" t="str">
        <x:v>Days 17 and 22; source access/inventory confirmed on Day 1</x:v>
      </x:c>
      <x:c r="M101" s="16" t="str"/>
    </x:row>
    <x:row r="102" ht="66" customHeight="1">
      <x:c r="A102" s="16" t="str">
        <x:v>Day 25</x:v>
      </x:c>
      <x:c r="B102" s="16" t="str">
        <x:v>End-to-end regression and blocker fixes</x:v>
      </x:c>
      <x:c r="C102" s="16" t="str">
        <x:v>Stabilize the complete Author-to-Teacher MVP path.</x:v>
      </x:c>
      <x:c r="D102" s="16" t="str">
        <x:v>Rahul</x:v>
      </x:c>
      <x:c r="E102" s="16" t="str">
        <x:v>Frontend</x:v>
      </x:c>
      <x:c r="F102" s="16" t="str">
        <x:v>Frontend — Fix critical UI defects found in end-to-end testing.</x:v>
      </x:c>
      <x:c r="G102" s="16" t="str">
        <x:v>Working UI/component for End-to-end regression and blocker fixes</x:v>
      </x:c>
      <x:c r="H102" s="16" t="str">
        <x:v>The UI works in the agreed flow and is ready for QA.</x:v>
      </x:c>
      <x:c r="I102" s="16" t="str">
        <x:v>Author?validate?authorize?publish?Teacher run?student-safe projection passes; stale saves, draft denial, failed media fallback, exact-version reuse and unchanged live release are evidenced. Existing LMS login/curriculum/course/exam/teaching-session smoke checks pass.</x:v>
      </x:c>
      <x:c r="J102" s="16" t="str">
        <x:v>Planned</x:v>
      </x:c>
      <x:c r="K102" s="17" t="n">
        <x:v>0</x:v>
      </x:c>
      <x:c r="L102" s="16" t="str">
        <x:v>Days 20–24</x:v>
      </x:c>
      <x:c r="M102" s="16" t="str"/>
    </x:row>
    <x:row r="103" ht="66" customHeight="1">
      <x:c r="A103" s="16" t="str">
        <x:v>Day 25</x:v>
      </x:c>
      <x:c r="B103" s="16" t="str">
        <x:v>End-to-end regression and blocker fixes</x:v>
      </x:c>
      <x:c r="C103" s="16" t="str">
        <x:v>Stabilize the complete Author-to-Teacher MVP path.</x:v>
      </x:c>
      <x:c r="D103" s="16" t="str">
        <x:v>Poojitha</x:v>
      </x:c>
      <x:c r="E103" s="16" t="str">
        <x:v>Backend</x:v>
      </x:c>
      <x:c r="F103" s="16" t="str">
        <x:v>Backend — Fix critical service, permission and error-handling defects.</x:v>
      </x:c>
      <x:c r="G103" s="16" t="str">
        <x:v>Working API/service for End-to-end regression and blocker fixes</x:v>
      </x:c>
      <x:c r="H103" s="16" t="str">
        <x:v>The service/API works with permissions and error handling and is ready for QA.</x:v>
      </x:c>
      <x:c r="I103" s="16" t="str">
        <x:v>Author?validate?authorize?publish?Teacher run?student-safe projection passes; stale saves, draft denial, failed media fallback, exact-version reuse and unchanged live release are evidenced. Existing LMS login/curriculum/course/exam/teaching-session smoke checks pass.</x:v>
      </x:c>
      <x:c r="J103" s="16" t="str">
        <x:v>Planned</x:v>
      </x:c>
      <x:c r="K103" s="17" t="n">
        <x:v>0</x:v>
      </x:c>
      <x:c r="L103" s="16" t="str">
        <x:v>Days 20–24</x:v>
      </x:c>
      <x:c r="M103" s="16" t="str"/>
    </x:row>
    <x:row r="104" ht="66" customHeight="1">
      <x:c r="A104" s="16" t="str">
        <x:v>Day 25</x:v>
      </x:c>
      <x:c r="B104" s="16" t="str">
        <x:v>End-to-end regression and blocker fixes</x:v>
      </x:c>
      <x:c r="C104" s="16" t="str">
        <x:v>Stabilize the complete Author-to-Teacher MVP path.</x:v>
      </x:c>
      <x:c r="D104" s="16" t="str">
        <x:v>Dhanunjaya</x:v>
      </x:c>
      <x:c r="E104" s="16" t="str">
        <x:v>Database</x:v>
      </x:c>
      <x:c r="F104" s="16" t="str">
        <x:v>Database — Fix critical migration, data-integrity and query defects.</x:v>
      </x:c>
      <x:c r="G104" s="16" t="str">
        <x:v>Reviewed schema, migration or data change for End-to-end regression and blocker fixes</x:v>
      </x:c>
      <x:c r="H104" s="16" t="str">
        <x:v>The schema/query change runs locally, preserves integrity and is ready for QA.</x:v>
      </x:c>
      <x:c r="I104" s="16" t="str">
        <x:v>Author?validate?authorize?publish?Teacher run?student-safe projection passes; stale saves, draft denial, failed media fallback, exact-version reuse and unchanged live release are evidenced. Existing LMS login/curriculum/course/exam/teaching-session smoke checks pass.</x:v>
      </x:c>
      <x:c r="J104" s="16" t="str">
        <x:v>Planned</x:v>
      </x:c>
      <x:c r="K104" s="17" t="n">
        <x:v>0</x:v>
      </x:c>
      <x:c r="L104" s="16" t="str">
        <x:v>Days 20–24</x:v>
      </x:c>
      <x:c r="M104" s="16" t="str"/>
    </x:row>
    <x:row r="105" ht="66" customHeight="1">
      <x:c r="A105" s="16" t="str">
        <x:v>Day 25</x:v>
      </x:c>
      <x:c r="B105" s="16" t="str">
        <x:v>End-to-end regression and blocker fixes</x:v>
      </x:c>
      <x:c r="C105" s="16" t="str">
        <x:v>Stabilize the complete Author-to-Teacher MVP path.</x:v>
      </x:c>
      <x:c r="D105" s="16" t="str">
        <x:v>Teja</x:v>
      </x:c>
      <x:c r="E105" s="16" t="str">
        <x:v>QA</x:v>
      </x:c>
      <x:c r="F105" s="16" t="str">
        <x:v>QA — Run full MVP regression and separate existing LMS defects from Studio defects.</x:v>
      </x:c>
      <x:c r="G105" s="16" t="str">
        <x:v>Executed test results and defect update for End-to-end regression and blocker fixes</x:v>
      </x:c>
      <x:c r="H105" s="16" t="str">
        <x:v>Planned tests are executed, and pass/fail evidence and defects are recorded.</x:v>
      </x:c>
      <x:c r="I105" s="16" t="str">
        <x:v>Author?validate?authorize?publish?Teacher run?student-safe projection passes; stale saves, draft denial, failed media fallback, exact-version reuse and unchanged live release are evidenced. Existing LMS login/curriculum/course/exam/teaching-session smoke checks pass.</x:v>
      </x:c>
      <x:c r="J105" s="16" t="str">
        <x:v>Planned</x:v>
      </x:c>
      <x:c r="K105" s="17" t="n">
        <x:v>0</x:v>
      </x:c>
      <x:c r="L105" s="16" t="str">
        <x:v>Days 20–24</x:v>
      </x:c>
      <x:c r="M105" s="16" t="str"/>
    </x:row>
    <x:row r="106" ht="66" customHeight="1">
      <x:c r="A106" s="16" t="str">
        <x:v>Day 26</x:v>
      </x:c>
      <x:c r="B106" s="16" t="str">
        <x:v>Documentation and team operating guide</x:v>
      </x:c>
      <x:c r="C106" s="16" t="str">
        <x:v>Give the team and users clear instructions that match the implemented system.</x:v>
      </x:c>
      <x:c r="D106" s="16" t="str">
        <x:v>Rahul</x:v>
      </x:c>
      <x:c r="E106" s="16" t="str">
        <x:v>Database</x:v>
      </x:c>
      <x:c r="F106" s="16" t="str">
        <x:v>Database — Document schema, migrations, backup and recovery steps.</x:v>
      </x:c>
      <x:c r="G106" s="16" t="str">
        <x:v>Reviewed Database runbook and handover documentation</x:v>
      </x:c>
      <x:c r="H106" s="16" t="str">
        <x:v>Documented commands and flows match the build, distinguish supported/deferred capabilities, and include owners, known limitations and recovery steps.</x:v>
      </x:c>
      <x:c r="I106" s="16" t="str">
        <x:v>A new team member can run and verify the MVP using the documented steps.</x:v>
      </x:c>
      <x:c r="J106" s="16" t="str">
        <x:v>Planned</x:v>
      </x:c>
      <x:c r="K106" s="17" t="n">
        <x:v>0</x:v>
      </x:c>
      <x:c r="L106" s="16" t="str">
        <x:v>Day 25</x:v>
      </x:c>
      <x:c r="M106" s="16" t="str"/>
    </x:row>
    <x:row r="107" ht="66" customHeight="1">
      <x:c r="A107" s="16" t="str">
        <x:v>Day 26</x:v>
      </x:c>
      <x:c r="B107" s="16" t="str">
        <x:v>Documentation and team operating guide</x:v>
      </x:c>
      <x:c r="C107" s="16" t="str">
        <x:v>Give the team and users clear instructions that match the implemented system.</x:v>
      </x:c>
      <x:c r="D107" s="16" t="str">
        <x:v>Poojitha</x:v>
      </x:c>
      <x:c r="E107" s="16" t="str">
        <x:v>Frontend</x:v>
      </x:c>
      <x:c r="F107" s="16" t="str">
        <x:v>Frontend — Document Author and Teacher UI steps with current screenshots/labels.</x:v>
      </x:c>
      <x:c r="G107" s="16" t="str">
        <x:v>Reviewed Frontend runbook and handover documentation</x:v>
      </x:c>
      <x:c r="H107" s="16" t="str">
        <x:v>Documented commands and flows match the build, distinguish supported/deferred capabilities, and include owners, known limitations and recovery steps.</x:v>
      </x:c>
      <x:c r="I107" s="16" t="str">
        <x:v>A new team member can run and verify the MVP using the documented steps.</x:v>
      </x:c>
      <x:c r="J107" s="16" t="str">
        <x:v>Planned</x:v>
      </x:c>
      <x:c r="K107" s="17" t="n">
        <x:v>0</x:v>
      </x:c>
      <x:c r="L107" s="16" t="str">
        <x:v>Day 25</x:v>
      </x:c>
      <x:c r="M107" s="16" t="str"/>
    </x:row>
    <x:row r="108" ht="66" customHeight="1">
      <x:c r="A108" s="16" t="str">
        <x:v>Day 26</x:v>
      </x:c>
      <x:c r="B108" s="16" t="str">
        <x:v>Documentation and team operating guide</x:v>
      </x:c>
      <x:c r="C108" s="16" t="str">
        <x:v>Give the team and users clear instructions that match the implemented system.</x:v>
      </x:c>
      <x:c r="D108" s="16" t="str">
        <x:v>Dhanunjaya</x:v>
      </x:c>
      <x:c r="E108" s="16" t="str">
        <x:v>Backend</x:v>
      </x:c>
      <x:c r="F108" s="16" t="str">
        <x:v>Backend — Document APIs, permissions, errors and local run steps.</x:v>
      </x:c>
      <x:c r="G108" s="16" t="str">
        <x:v>Reviewed Backend runbook and handover documentation</x:v>
      </x:c>
      <x:c r="H108" s="16" t="str">
        <x:v>Documented commands and flows match the build, distinguish supported/deferred capabilities, and include owners, known limitations and recovery steps.</x:v>
      </x:c>
      <x:c r="I108" s="16" t="str">
        <x:v>A new team member can run and verify the MVP using the documented steps.</x:v>
      </x:c>
      <x:c r="J108" s="16" t="str">
        <x:v>Planned</x:v>
      </x:c>
      <x:c r="K108" s="17" t="n">
        <x:v>0</x:v>
      </x:c>
      <x:c r="L108" s="16" t="str">
        <x:v>Day 25</x:v>
      </x:c>
      <x:c r="M108" s="16" t="str"/>
    </x:row>
    <x:row r="109" ht="66" customHeight="1">
      <x:c r="A109" s="16" t="str">
        <x:v>Day 26</x:v>
      </x:c>
      <x:c r="B109" s="16" t="str">
        <x:v>Documentation and team operating guide</x:v>
      </x:c>
      <x:c r="C109" s="16" t="str">
        <x:v>Give the team and users clear instructions that match the implemented system.</x:v>
      </x:c>
      <x:c r="D109" s="16" t="str">
        <x:v>Teja</x:v>
      </x:c>
      <x:c r="E109" s="16" t="str">
        <x:v>QA</x:v>
      </x:c>
      <x:c r="F109" s="16" t="str">
        <x:v>QA — Review every instruction against the build and record mismatches.</x:v>
      </x:c>
      <x:c r="G109" s="16" t="str">
        <x:v>Reviewed QA runbook and handover documentation</x:v>
      </x:c>
      <x:c r="H109" s="16" t="str">
        <x:v>Documented commands and flows match the build, distinguish supported/deferred capabilities, and include owners, known limitations and recovery steps.</x:v>
      </x:c>
      <x:c r="I109" s="16" t="str">
        <x:v>A new team member can run and verify the MVP using the documented steps.</x:v>
      </x:c>
      <x:c r="J109" s="16" t="str">
        <x:v>Planned</x:v>
      </x:c>
      <x:c r="K109" s="17" t="n">
        <x:v>0</x:v>
      </x:c>
      <x:c r="L109" s="16" t="str">
        <x:v>Day 25</x:v>
      </x:c>
      <x:c r="M109" s="16" t="str"/>
    </x:row>
    <x:row r="110" ht="66" customHeight="1">
      <x:c r="A110" s="16" t="str">
        <x:v>Day 27</x:v>
      </x:c>
      <x:c r="B110" s="16" t="str">
        <x:v>Staging deployment and user acceptance</x:v>
      </x:c>
      <x:c r="C110" s="16" t="str">
        <x:v>Verify the MVP in a staging-like environment with representative users.</x:v>
      </x:c>
      <x:c r="D110" s="16" t="str">
        <x:v>Rahul</x:v>
      </x:c>
      <x:c r="E110" s="16" t="str">
        <x:v>Backend</x:v>
      </x:c>
      <x:c r="F110" s="16" t="str">
        <x:v>Backend — Deploy APIs, configuration and health checks; prepare rollback.</x:v>
      </x:c>
      <x:c r="G110" s="16" t="str">
        <x:v>Working API/service for Staging deployment and user acceptance</x:v>
      </x:c>
      <x:c r="H110" s="16" t="str">
        <x:v>The service/API works with permissions and error handling and is ready for QA.</x:v>
      </x:c>
      <x:c r="I110" s="16" t="str">
        <x:v>Representative signed-in roles pass staging UAT; database AND referenced asset versions restore with integrity checked, rollback is exercised, and measured recovery results are recorded. Production remains gated on Day 28.</x:v>
      </x:c>
      <x:c r="J110" s="16" t="str">
        <x:v>Planned</x:v>
      </x:c>
      <x:c r="K110" s="17" t="n">
        <x:v>0</x:v>
      </x:c>
      <x:c r="L110" s="16" t="str">
        <x:v>Days 25–26</x:v>
      </x:c>
      <x:c r="M110" s="16" t="str"/>
    </x:row>
    <x:row r="111" ht="66" customHeight="1">
      <x:c r="A111" s="16" t="str">
        <x:v>Day 27</x:v>
      </x:c>
      <x:c r="B111" s="16" t="str">
        <x:v>Staging deployment and user acceptance</x:v>
      </x:c>
      <x:c r="C111" s="16" t="str">
        <x:v>Verify the MVP in a staging-like environment with representative users.</x:v>
      </x:c>
      <x:c r="D111" s="16" t="str">
        <x:v>Poojitha</x:v>
      </x:c>
      <x:c r="E111" s="16" t="str">
        <x:v>Database</x:v>
      </x:c>
      <x:c r="F111" s="16" t="str">
        <x:v>Database — Apply reviewed migrations and verify backup/restore in staging.</x:v>
      </x:c>
      <x:c r="G111" s="16" t="str">
        <x:v>Reviewed schema, migration or data change for Staging deployment and user acceptance</x:v>
      </x:c>
      <x:c r="H111" s="16" t="str">
        <x:v>The schema/query change runs locally, preserves integrity and is ready for QA.</x:v>
      </x:c>
      <x:c r="I111" s="16" t="str">
        <x:v>Representative signed-in roles pass staging UAT; database AND referenced asset versions restore with integrity checked, rollback is exercised, and measured recovery results are recorded. Production remains gated on Day 28.</x:v>
      </x:c>
      <x:c r="J111" s="16" t="str">
        <x:v>Planned</x:v>
      </x:c>
      <x:c r="K111" s="17" t="n">
        <x:v>0</x:v>
      </x:c>
      <x:c r="L111" s="16" t="str">
        <x:v>Days 25–26</x:v>
      </x:c>
      <x:c r="M111" s="16" t="str"/>
    </x:row>
    <x:row r="112" ht="66" customHeight="1">
      <x:c r="A112" s="16" t="str">
        <x:v>Day 27</x:v>
      </x:c>
      <x:c r="B112" s="16" t="str">
        <x:v>Staging deployment and user acceptance</x:v>
      </x:c>
      <x:c r="C112" s="16" t="str">
        <x:v>Verify the MVP in a staging-like environment with representative users.</x:v>
      </x:c>
      <x:c r="D112" s="16" t="str">
        <x:v>Dhanunjaya</x:v>
      </x:c>
      <x:c r="E112" s="16" t="str">
        <x:v>Frontend</x:v>
      </x:c>
      <x:c r="F112" s="16" t="str">
        <x:v>Frontend — Deploy and verify the user flows and projection layout in staging.</x:v>
      </x:c>
      <x:c r="G112" s="16" t="str">
        <x:v>Working UI/component for Staging deployment and user acceptance</x:v>
      </x:c>
      <x:c r="H112" s="16" t="str">
        <x:v>The UI works in the agreed flow and is ready for QA.</x:v>
      </x:c>
      <x:c r="I112" s="16" t="str">
        <x:v>Representative signed-in roles pass staging UAT; database AND referenced asset versions restore with integrity checked, rollback is exercised, and measured recovery results are recorded. Production remains gated on Day 28.</x:v>
      </x:c>
      <x:c r="J112" s="16" t="str">
        <x:v>Planned</x:v>
      </x:c>
      <x:c r="K112" s="17" t="n">
        <x:v>0</x:v>
      </x:c>
      <x:c r="L112" s="16" t="str">
        <x:v>Days 25–26</x:v>
      </x:c>
      <x:c r="M112" s="16" t="str"/>
    </x:row>
    <x:row r="113" ht="66" customHeight="1">
      <x:c r="A113" s="16" t="str">
        <x:v>Day 27</x:v>
      </x:c>
      <x:c r="B113" s="16" t="str">
        <x:v>Staging deployment and user acceptance</x:v>
      </x:c>
      <x:c r="C113" s="16" t="str">
        <x:v>Verify the MVP in a staging-like environment with representative users.</x:v>
      </x:c>
      <x:c r="D113" s="16" t="str">
        <x:v>Teja</x:v>
      </x:c>
      <x:c r="E113" s="16" t="str">
        <x:v>QA</x:v>
      </x:c>
      <x:c r="F113" s="16" t="str">
        <x:v>QA — Run Author and Teacher UAT scenarios and record acceptance/blockers.</x:v>
      </x:c>
      <x:c r="G113" s="16" t="str">
        <x:v>Executed test results and defect update for Staging deployment and user acceptance</x:v>
      </x:c>
      <x:c r="H113" s="16" t="str">
        <x:v>Planned tests are executed, and pass/fail evidence and defects are recorded.</x:v>
      </x:c>
      <x:c r="I113" s="16" t="str">
        <x:v>Representative signed-in roles pass staging UAT; database AND referenced asset versions restore with integrity checked, rollback is exercised, and measured recovery results are recorded. Production remains gated on Day 28.</x:v>
      </x:c>
      <x:c r="J113" s="16" t="str">
        <x:v>Planned</x:v>
      </x:c>
      <x:c r="K113" s="17" t="n">
        <x:v>0</x:v>
      </x:c>
      <x:c r="L113" s="16" t="str">
        <x:v>Days 25–26</x:v>
      </x:c>
      <x:c r="M113" s="16" t="str"/>
    </x:row>
    <x:row r="114" ht="66" customHeight="1">
      <x:c r="A114" s="16" t="str">
        <x:v>Day 28</x:v>
      </x:c>
      <x:c r="B114" s="16" t="str">
        <x:v>Release decision and handover</x:v>
      </x:c>
      <x:c r="C114" s="16" t="str">
        <x:v>Make a clear go/no-go decision and hand over the accepted MVP.</x:v>
      </x:c>
      <x:c r="D114" s="16" t="str">
        <x:v>Rahul</x:v>
      </x:c>
      <x:c r="E114" s="16" t="str">
        <x:v>Frontend</x:v>
      </x:c>
      <x:c r="F114" s="16" t="str">
        <x:v>Frontend — Close approved UI issues and demonstrate the final user flow.</x:v>
      </x:c>
      <x:c r="G114" s="16" t="str">
        <x:v>Working UI/component for Release decision and handover</x:v>
      </x:c>
      <x:c r="H114" s="16" t="str">
        <x:v>The UI works in the agreed flow and is ready for QA.</x:v>
      </x:c>
      <x:c r="I114" s="16" t="str">
        <x:v>Record go/no-go against Scope and Gates, academic/content authorization, QA evidence, operational ownership and accepted limitations. Production release occurs only after named release-owner approval; failed gates extend the plan.</x:v>
      </x:c>
      <x:c r="J114" s="16" t="str">
        <x:v>Planned</x:v>
      </x:c>
      <x:c r="K114" s="17" t="n">
        <x:v>0</x:v>
      </x:c>
      <x:c r="L114" s="16" t="str">
        <x:v>Day 27</x:v>
      </x:c>
      <x:c r="M114" s="16" t="str"/>
    </x:row>
    <x:row r="115" ht="66" customHeight="1">
      <x:c r="A115" s="16" t="str">
        <x:v>Day 28</x:v>
      </x:c>
      <x:c r="B115" s="16" t="str">
        <x:v>Release decision and handover</x:v>
      </x:c>
      <x:c r="C115" s="16" t="str">
        <x:v>Make a clear go/no-go decision and hand over the accepted MVP.</x:v>
      </x:c>
      <x:c r="D115" s="16" t="str">
        <x:v>Poojitha</x:v>
      </x:c>
      <x:c r="E115" s="16" t="str">
        <x:v>Backend</x:v>
      </x:c>
      <x:c r="F115" s="16" t="str">
        <x:v>Backend — Confirm services, monitoring, configuration and rollback ownership.</x:v>
      </x:c>
      <x:c r="G115" s="16" t="str">
        <x:v>Working API/service for Release decision and handover</x:v>
      </x:c>
      <x:c r="H115" s="16" t="str">
        <x:v>The service/API works with permissions and error handling and is ready for QA.</x:v>
      </x:c>
      <x:c r="I115" s="16" t="str">
        <x:v>Record go/no-go against Scope and Gates, academic/content authorization, QA evidence, operational ownership and accepted limitations. Production release occurs only after named release-owner approval; failed gates extend the plan.</x:v>
      </x:c>
      <x:c r="J115" s="16" t="str">
        <x:v>Planned</x:v>
      </x:c>
      <x:c r="K115" s="17" t="n">
        <x:v>0</x:v>
      </x:c>
      <x:c r="L115" s="16" t="str">
        <x:v>Day 27</x:v>
      </x:c>
      <x:c r="M115" s="16" t="str"/>
    </x:row>
    <x:row r="116" ht="66" customHeight="1">
      <x:c r="A116" s="16" t="str">
        <x:v>Day 28</x:v>
      </x:c>
      <x:c r="B116" s="16" t="str">
        <x:v>Release decision and handover</x:v>
      </x:c>
      <x:c r="C116" s="16" t="str">
        <x:v>Make a clear go/no-go decision and hand over the accepted MVP.</x:v>
      </x:c>
      <x:c r="D116" s="16" t="str">
        <x:v>Dhanunjaya</x:v>
      </x:c>
      <x:c r="E116" s="16" t="str">
        <x:v>Database</x:v>
      </x:c>
      <x:c r="F116" s="16" t="str">
        <x:v>Database — Confirm migration status, backup evidence and recovery ownership.</x:v>
      </x:c>
      <x:c r="G116" s="16" t="str">
        <x:v>Reviewed schema, migration or data change for Release decision and handover</x:v>
      </x:c>
      <x:c r="H116" s="16" t="str">
        <x:v>The schema/query change runs locally, preserves integrity and is ready for QA.</x:v>
      </x:c>
      <x:c r="I116" s="16" t="str">
        <x:v>Record go/no-go against Scope and Gates, academic/content authorization, QA evidence, operational ownership and accepted limitations. Production release occurs only after named release-owner approval; failed gates extend the plan.</x:v>
      </x:c>
      <x:c r="J116" s="16" t="str">
        <x:v>Planned</x:v>
      </x:c>
      <x:c r="K116" s="17" t="n">
        <x:v>0</x:v>
      </x:c>
      <x:c r="L116" s="16" t="str">
        <x:v>Day 27</x:v>
      </x:c>
      <x:c r="M116" s="16" t="str"/>
    </x:row>
    <x:row r="117" ht="66" customHeight="1">
      <x:c r="A117" s="16" t="str">
        <x:v>Day 28</x:v>
      </x:c>
      <x:c r="B117" s="16" t="str">
        <x:v>Release decision and handover</x:v>
      </x:c>
      <x:c r="C117" s="16" t="str">
        <x:v>Make a clear go/no-go decision and hand over the accepted MVP.</x:v>
      </x:c>
      <x:c r="D117" s="16" t="str">
        <x:v>Teja</x:v>
      </x:c>
      <x:c r="E117" s="16" t="str">
        <x:v>QA</x:v>
      </x:c>
      <x:c r="F117" s="16" t="str">
        <x:v>QA — Present the final quality summary, open issues and release recommendation.</x:v>
      </x:c>
      <x:c r="G117" s="16" t="str">
        <x:v>Executed test results and defect update for Release decision and handover</x:v>
      </x:c>
      <x:c r="H117" s="16" t="str">
        <x:v>Planned tests are executed, and pass/fail evidence and defects are recorded.</x:v>
      </x:c>
      <x:c r="I117" s="16" t="str">
        <x:v>Record go/no-go against Scope and Gates, academic/content authorization, QA evidence, operational ownership and accepted limitations. Production release occurs only after named release-owner approval; failed gates extend the plan.</x:v>
      </x:c>
      <x:c r="J117" s="16" t="str">
        <x:v>Planned</x:v>
      </x:c>
      <x:c r="K117" s="17" t="n">
        <x:v>0</x:v>
      </x:c>
      <x:c r="L117" s="16" t="str">
        <x:v>Day 27</x:v>
      </x:c>
      <x:c r="M117" s="16" t="str"/>
    </x:row>
  </x:sheetData>
  <x:conditionalFormatting sqref="J6:J117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Ready"/>
    <x:cfRule type="containsText" dxfId="3" priority="4" operator="containsText" text="Blocked"/>
  </x:conditionalFormatting>
  <x:dataValidations count="1">
    <x:dataValidation type="list" sqref="J6:J117">
      <x:formula1>"Planned,Ready,In Progress,Blocked,Needs verification,Complete"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30bf2503e417c"/>
  </x:tableParts>
</x: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72" customWidth="1"/>
    <col min="3" max="3" width="72" customWidth="1"/>
  </cols>
  <sheetData>
    <row r="1" ht="30" customHeight="1">
      <c r="A1" s="10" t="inlineStr">
        <is>
          <t xml:space="preserve">Topic</t>
        </is>
      </c>
      <c r="B1" s="10" t="inlineStr">
        <is>
          <t xml:space="preserve">Corrected planning rule</t>
        </is>
      </c>
      <c r="C1" s="10" t="inlineStr">
        <is>
          <t xml:space="preserve">Acceptance / evidence</t>
        </is>
      </c>
    </row>
    <row r="2" ht="90" customHeight="1">
      <c r="A2" s="3" t="inlineStr">
        <is>
          <t xml:space="preserve">Purpose</t>
        </is>
      </c>
      <c r="B2" s="3" t="inlineStr">
        <is>
          <t xml:space="preserve">Deliver an initial governed authoring, resource reuse and classroom delivery MVP in 28 provisional working days.</t>
        </is>
      </c>
      <c r="C2" s="3" t="inlineStr">
        <is>
          <t xml:space="preserve">This workbook is a plan, not evidence of completed functionality or a guarantee of duration.</t>
        </is>
      </c>
    </row>
    <row r="3" ht="90" customHeight="1">
      <c r="A3" s="3" t="inlineStr">
        <is>
          <t xml:space="preserve">Existing stack</t>
        </is>
      </c>
      <c r="B3" s="3" t="inlineStr">
        <is>
          <t xml:space="preserve">React 19/Vite/TypeScript; Express/Node; PostgreSQL/Supabase; existing LMS JWT auth, permissions and entitlements.</t>
        </is>
      </c>
      <c r="C3" s="3" t="inlineStr">
        <is>
          <t xml:space="preserve">Reuse repository services; no Cloudflare Worker/D1 platform migration is included.</t>
        </is>
      </c>
    </row>
    <row r="4" ht="90" customHeight="1">
      <c r="A4" s="3" t="inlineStr">
        <is>
          <t xml:space="preserve">Existing data</t>
        </is>
      </c>
      <c r="B4" s="3" t="inlineStr">
        <is>
          <t xml:space="preserve">Review Studio SQL 001?004 rather than create duplicate parallel models. Existing SQL uses client_id, school_id, integer LMS user and academic references; Studio entities use UUIDs.</t>
        </is>
      </c>
      <c r="C4" s="3" t="inlineStr">
        <is>
          <t xml:space="preserve">Inspect constraints, applied migration state and data in an isolated environment. SQL files do not prove live database deployment.</t>
        </is>
      </c>
    </row>
    <row r="5" ht="90" customHeight="1">
      <c r="A5" s="3" t="inlineStr">
        <is>
          <t xml:space="preserve">Authority</t>
        </is>
      </c>
      <c r="B5" s="3" t="inlineStr">
        <is>
          <t xml:space="preserve">Map content_authorizer and other permitted LMS roles to explicitly scoped Studio commands. Platform ownership is not academic authorization.</t>
        </is>
      </c>
      <c r="C5" s="3" t="inlineStr">
        <is>
          <t xml:space="preserve">Reviewed role/scope/entitlement matrix, denied-write tests and same-tenant relationships.</t>
        </is>
      </c>
    </row>
    <row r="6" ht="90" customHeight="1">
      <c r="A6" s="3" t="inlineStr">
        <is>
          <t xml:space="preserve">MVP authoring</t>
        </is>
      </c>
      <c r="B6" s="3" t="inlineStr">
        <is>
          <t xml:space="preserve">Lesson/session/screen drafts; structured text, visual, question and resource objects; saved ordering; supported layouts; basic reveals; conflict handling.</t>
        </is>
      </c>
      <c r="C6" s="3" t="inlineStr">
        <is>
          <t xml:space="preserve">Save/reload and unrelated-content preservation tests. Scope supported object/layout types before build.</t>
        </is>
      </c>
    </row>
    <row r="7" ht="90" customHeight="1">
      <c r="A7" s="3" t="inlineStr">
        <is>
          <t xml:space="preserve">MVP resource routes</t>
        </is>
      </c>
      <c r="B7" s="3" t="inlineStr">
        <is>
          <t xml:space="preserve">Native text/simple quiz; agreed image/PDF upload; reviewed HTTPS link; internal-map reuse.</t>
        </is>
      </c>
      <c r="C7" s="3" t="inlineStr">
        <is>
          <t xml:space="preserve">Declare exact formats, limits, rights, accessibility, fallback and preview behavior. Arbitrary source projects and conversation URLs are not executable content.</t>
        </is>
      </c>
    </row>
    <row r="8" ht="90" customHeight="1">
      <c r="A8" s="3" t="inlineStr">
        <is>
          <t xml:space="preserve">MVP library</t>
        </is>
      </c>
      <c r="B8" s="3" t="inlineStr">
        <is>
          <t xml:space="preserve">Items, exact versions, scoped academic mappings, search/type/subject/grade filters, pagination, review, bindings, referenced-version protection and withdrawal.</t>
        </is>
      </c>
      <c r="C8" s="3" t="inlineStr">
        <is>
          <t xml:space="preserve">One exact approved version in two lessons with independent teaching context; no silent replacement.</t>
        </is>
      </c>
    </row>
    <row r="9" ht="90" customHeight="1">
      <c r="A9" s="3" t="inlineStr">
        <is>
          <t xml:space="preserve">MVP release and delivery</t>
        </is>
      </c>
      <c r="B9" s="3" t="inlineStr">
        <is>
          <t xml:space="preserve">Validate exact revision, academic approval, immutable pinned release, Teacher run, branch return, student-safe projection.</t>
        </is>
      </c>
      <c r="C9" s="3" t="inlineStr">
        <is>
          <t xml:space="preserve">Any later draft/resource candidate leaves active releases and runs unchanged.</t>
        </is>
      </c>
    </row>
    <row r="10" ht="90" customHeight="1">
      <c r="A10" s="3" t="inlineStr">
        <is>
          <t xml:space="preserve">Mandatory privacy</t>
        </is>
      </c>
      <c r="B10" s="3" t="inlineStr">
        <is>
          <t xml:space="preserve">Apply permissions from the first route. Hide private data server-side, including assets and metadata. Student-safe payload checks remain in scope.</t>
        </is>
      </c>
      <c r="C10" s="3" t="inlineStr">
        <is>
          <t xml:space="preserve">Real signed-in role tests plus direct API/file denial and cross-client/school/scope tests.</t>
        </is>
      </c>
    </row>
    <row r="11" ht="90" customHeight="1">
      <c r="A11" s="3" t="inlineStr">
        <is>
          <t xml:space="preserve">Status integrity</t>
        </is>
      </c>
      <c r="B11" s="3" t="inlineStr">
        <is>
          <t xml:space="preserve">Days 1?3 changed from Complete to Needs verification; old evidence references retained as unverified claims.</t>
        </is>
      </c>
      <c r="C11" s="3" t="inlineStr">
        <is>
          <t xml:space="preserve">Attach repository revision, actual path/report, executed commands/results and reviewer before setting Complete.</t>
        </is>
      </c>
    </row>
    <row r="12" ht="90" customHeight="1">
      <c r="A12" s="3" t="inlineStr">
        <is>
          <t xml:space="preserve">Integration gate</t>
        </is>
      </c>
      <c r="B12" s="3" t="inlineStr">
        <is>
          <t xml:space="preserve">Day 4 confirms the mapping already represented in SQL and resolves gaps. Do not design a second tenant or curriculum system.</t>
        </is>
      </c>
      <c r="C12" s="3" t="inlineStr">
        <is>
          <t xml:space="preserve">Approved adapter and migration contract before persisted feature work.</t>
        </is>
      </c>
    </row>
    <row r="13" ht="90" customHeight="1">
      <c r="A13" s="3" t="inlineStr">
        <is>
          <t xml:space="preserve">Prototype versus production</t>
        </is>
      </c>
      <c r="B13" s="3" t="inlineStr">
        <is>
          <t xml:space="preserve">Day 18 branch work uses a preview harness. Day 23 repeats branch behavior against approved release-pinned teaching runs.</t>
        </is>
      </c>
      <c r="C13" s="3" t="inlineStr">
        <is>
          <t xml:space="preserve">A preview does not constitute authorized classroom publication.</t>
        </is>
      </c>
    </row>
    <row r="14" ht="90" customHeight="1">
      <c r="A14" s="3" t="inlineStr">
        <is>
          <t xml:space="preserve">Pilot migration</t>
        </is>
      </c>
      <c r="B14" s="3" t="inlineStr">
        <is>
          <t xml:space="preserve">Inventory actual accessible pilot sources on Day 1; migrate one reviewed representative slice on Day 24.</t>
        </is>
      </c>
      <c r="C14" s="3" t="inlineStr">
        <is>
          <t xml:space="preserve">If sources are unavailable use a labeled fixture and record the limitation. Never claim all 523 branches migrated without comparison evidence.</t>
        </is>
      </c>
    </row>
    <row r="15" ht="90" customHeight="1">
      <c r="A15" s="3" t="inlineStr">
        <is>
          <t xml:space="preserve">Estimate and capacity</t>
        </is>
      </c>
      <c r="B15" s="3" t="inlineStr">
        <is>
          <t xml:space="preserve">28 working days excluding holidays is a sequencing target. Estimate each assignment with the named owner at kickoff; include integration, review and defect time.</t>
        </is>
      </c>
      <c r="C15" s="3" t="inlineStr">
        <is>
          <t xml:space="preserve">Reforecast at Days 4, 10, 20 and 25. Unmet gates extend the schedule; do not drop required checks to meet Day 28.</t>
        </is>
      </c>
    </row>
    <row r="16" ht="90" customHeight="1">
      <c r="A16" s="3" t="inlineStr">
        <is>
          <t xml:space="preserve">Team ownership</t>
        </is>
      </c>
      <c r="B16" s="3" t="inlineStr">
        <is>
          <t xml:space="preserve">Preserve named assignees and rotating roles in the source tracker as provisional. Confirm skills/capacity and reviewer at kickoff.</t>
        </is>
      </c>
      <c r="C16" s="3" t="inlineStr">
        <is>
          <t xml:space="preserve">Each task has one accountable owner; QA executes against usable builds, records blockers and retests fixes.</t>
        </is>
      </c>
    </row>
    <row r="17" ht="90" customHeight="1">
      <c r="A17" s="3" t="inlineStr">
        <is>
          <t xml:space="preserve">Same-day dependencies</t>
        </is>
      </c>
      <c r="B17" s="3" t="inlineStr">
        <is>
          <t xml:space="preserve">Database/API/UI/QA entries describe shared daily goals; they are not assumed to finish simultaneously. Agree contracts first, then integrate and test.</t>
        </is>
      </c>
      <c r="C17" s="3" t="inlineStr">
        <is>
          <t xml:space="preserve">Use mocks/contracts where safe; carry incomplete dependent work forward and adjust forecast.</t>
        </is>
      </c>
    </row>
    <row r="18" ht="90" customHeight="1">
      <c r="A18" s="3" t="inlineStr">
        <is>
          <t xml:space="preserve">Completion evidence</t>
        </is>
      </c>
      <c r="B18" s="3" t="inlineStr">
        <is>
          <t xml:space="preserve">Schedule column M records commit, report path, tested environment, command/results, reviewer and accepted limitations.</t>
        </is>
      </c>
      <c r="C18" s="3" t="inlineStr">
        <is>
          <t xml:space="preserve">Complete requires both individual acceptance and the shared daily gate. Keep status and progress synchronized.</t>
        </is>
      </c>
    </row>
    <row r="19" ht="90" customHeight="1">
      <c r="A19" s="3" t="inlineStr">
        <is>
          <t xml:space="preserve">Recovery</t>
        </is>
      </c>
      <c r="B19" s="3" t="inlineStr">
        <is>
          <t xml:space="preserve">Back up and restore relational data plus referenced immutable asset versions, release manifests and review history.</t>
        </is>
      </c>
      <c r="C19" s="3" t="inlineStr">
        <is>
          <t xml:space="preserve">Record measured recovery and integrity results; do not promise RPO/RTO without agreed objectives and a successful drill.</t>
        </is>
      </c>
    </row>
    <row r="20" ht="90" customHeight="1">
      <c r="A20" s="3" t="inlineStr">
        <is>
          <t xml:space="preserve">Production gate</t>
        </is>
      </c>
      <c r="B20" s="3" t="inlineStr">
        <is>
          <t xml:space="preserve">Day 28 is a go/no-go decision. Publishing requires passed tests/UAT, academic authorization, operational readiness and release-owner approval.</t>
        </is>
      </c>
      <c r="C20" s="3" t="inlineStr">
        <is>
          <t xml:space="preserve">A failed gate leaves release blocked and triggers revised estimates; no automatic production go-live.</t>
        </is>
      </c>
    </row>
    <row r="21" ht="90" customHeight="1">
      <c r="A21" s="3" t="inlineStr">
        <is>
          <t xml:space="preserve">Traceability</t>
        </is>
      </c>
      <c r="B21" s="3" t="inlineStr">
        <is>
          <t xml:space="preserve">Use BR-01?BR-36 and Developer Guide R3 requirements. Partial/deferred items remain visible in the backlog.</t>
        </is>
      </c>
      <c r="C21" s="3" t="inlineStr">
        <is>
          <t xml:space="preserve">Add exact section/requirement mapping during Day 1; no claim of full BRD conformance for this MVP.</t>
        </is>
      </c>
    </row>
    <row r="22" ht="90" customHeight="1">
      <c r="A22" s="3" t="inlineStr">
        <is>
          <t xml:space="preserve">Review basis</t>
        </is>
      </c>
      <c r="B22" s="3" t="inlineStr">
        <is>
          <t xml:space="preserve">BRD v3 and Developer Guide v3 dated 8 October 2026; both supplied Excel files; local LMS source inspected 15 October 2026.</t>
        </is>
      </c>
      <c r="C22" s="3" t="inlineStr">
        <is>
          <t xml:space="preserve">Static review only: hosted state, cited completion evidence and full browser execution were not verified.</t>
        </is>
      </c>
    </row>
  </sheetData>
  <autoFilter ref="A1:C2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72" customWidth="1"/>
    <col min="3" max="3" width="72" customWidth="1"/>
    <col min="4" max="4" width="72" customWidth="1"/>
  </cols>
  <sheetData>
    <row r="1" ht="30" customHeight="1">
      <c r="A1" s="10" t="inlineStr">
        <is>
          <t xml:space="preserve">ID</t>
        </is>
      </c>
      <c r="B1" s="10" t="inlineStr">
        <is>
          <t xml:space="preserve">Follow-up scope / requirement</t>
        </is>
      </c>
      <c r="C1" s="10" t="inlineStr">
        <is>
          <t xml:space="preserve">Dependency / exit evidence</t>
        </is>
      </c>
      <c r="D1" s="10" t="inlineStr">
        <is>
          <t xml:space="preserve">Priority / timing</t>
        </is>
      </c>
    </row>
    <row r="2" ht="90" customHeight="1">
      <c r="A2" s="3" t="inlineStr">
        <is>
          <t xml:space="preserve">F01</t>
        </is>
      </c>
      <c r="B2" s="3" t="inlineStr">
        <is>
          <t xml:space="preserve">Isolated HTML single-file and ZIP package import with relative assets; supported provider embeds (BR-30/34).</t>
        </is>
      </c>
      <c r="C2" s="3" t="inlineStr">
        <is>
          <t xml:space="preserve">Agree runtime origin, quarantine/inspection, traversal and archive limits, no host credentials, compatible sandbox, exact return state and reviewed fallback.</t>
        </is>
      </c>
      <c r="D2" s="3" t="inlineStr">
        <is>
          <t xml:space="preserve">Next stage after secure MVP; estimate separately.</t>
        </is>
      </c>
    </row>
    <row r="3" ht="90" customHeight="1">
      <c r="A3" s="3" t="inlineStr">
        <is>
          <t xml:space="preserve">F02</t>
        </is>
      </c>
      <c r="B3" s="3" t="inlineStr">
        <is>
          <t xml:space="preserve">SCORM 1.2 single-SCO durable attempts; separate preview, Teacher demonstration and learner tracking.</t>
        </is>
      </c>
      <c r="C3" s="3" t="inlineStr">
        <is>
          <t xml:space="preserve">Isolated runtime adapter, declared data model, acknowledged idempotent commits, resume and error/conformance fixtures. Review existing ScormPlayer/API wrapper before reuse.</t>
        </is>
      </c>
      <c r="D3" s="3" t="inlineStr">
        <is>
          <t xml:space="preserve">After F01; estimate separately.</t>
        </is>
      </c>
    </row>
    <row r="4" ht="90" customHeight="1">
      <c r="A4" s="3" t="inlineStr">
        <is>
          <t xml:space="preserve">F03</t>
        </is>
      </c>
      <c r="B4" s="3" t="inlineStr">
        <is>
          <t xml:space="preserve">SCORM 2004 declared edition/profile and sequencing; multi-SCO if required.</t>
        </is>
      </c>
      <c r="C4" s="3" t="inlineStr">
        <is>
          <t xml:space="preserve">Explicit agreed profile and independent conformance fixtures. SCORM 1.2 or simple HTML launch does not satisfy this.</t>
        </is>
      </c>
      <c r="D4" s="3" t="inlineStr">
        <is>
          <t xml:space="preserve">Later stage; no compatibility claim before tests.</t>
        </is>
      </c>
    </row>
    <row r="5" ht="90" customHeight="1">
      <c r="A5" s="3" t="inlineStr">
        <is>
          <t xml:space="preserve">F04</t>
        </is>
      </c>
      <c r="B5" s="3" t="inlineStr">
        <is>
          <t xml:space="preserve">Collections, favorites and objective/misconception discovery filters (BR-31).</t>
        </is>
      </c>
      <c r="C5" s="3" t="inlineStr">
        <is>
          <t xml:space="preserve">Membership-scoped favorites, non-copying references, paging, combined filter and leakage tests.</t>
        </is>
      </c>
      <c r="D5" s="3" t="inlineStr">
        <is>
          <t xml:space="preserve">Next library increment.</t>
        </is>
      </c>
    </row>
    <row r="6" ht="90" customHeight="1">
      <c r="A6" s="3" t="inlineStr">
        <is>
          <t xml:space="preserve">F05</t>
        </is>
      </c>
      <c r="B6" s="3" t="inlineStr">
        <is>
          <t xml:space="preserve">Shared-resource dependency impact, explicit draft adoption and reauthorization (BR-33).</t>
        </is>
      </c>
      <c r="C6" s="3" t="inlineStr">
        <is>
          <t xml:space="preserve">Visible-scope usage index; candidate?review?draft adoption?revalidate?authorize?new release; active runs unchanged.</t>
        </is>
      </c>
      <c r="D6" s="3" t="inlineStr">
        <is>
          <t xml:space="preserve">Next governance increment; candidates never auto-replace.</t>
        </is>
      </c>
    </row>
    <row r="7" ht="90" customHeight="1">
      <c r="A7" s="3" t="inlineStr">
        <is>
          <t xml:space="preserve">F06</t>
        </is>
      </c>
      <c r="B7" s="3" t="inlineStr">
        <is>
          <t xml:space="preserve">Durable classroom evidence, reflections and Teacher feedback to Author work items (BR-36).</t>
        </is>
      </c>
      <c r="C7" s="3" t="inlineStr">
        <is>
          <t xml:space="preserve">Pinned run/screen/binding context, observed/unobserved/incorrect distinction, consent/retention policy and role-safe records.</t>
        </is>
      </c>
      <c r="D7" s="3" t="inlineStr">
        <is>
          <t xml:space="preserve">Next classroom increment.</t>
        </is>
      </c>
    </row>
    <row r="8" ht="90" customHeight="1">
      <c r="A8" s="3" t="inlineStr">
        <is>
          <t xml:space="preserve">F07</t>
        </is>
      </c>
      <c r="B8" s="3" t="inlineStr">
        <is>
          <t xml:space="preserve">Academic DOCX/PDF/Markdown/JSON imports and mapping review.</t>
        </is>
      </c>
      <c r="C8" s="3" t="inlineStr">
        <is>
          <t xml:space="preserve">Source provenance/hash, missing/ambiguous field findings and explicit acceptance into drafts. No silent academic approval or content loss.</t>
        </is>
      </c>
      <c r="D8" s="3" t="inlineStr">
        <is>
          <t xml:space="preserve">After draft contracts stabilize.</t>
        </is>
      </c>
    </row>
    <row r="9" ht="90" customHeight="1">
      <c r="A9" s="3" t="inlineStr">
        <is>
          <t xml:space="preserve">F08</t>
        </is>
      </c>
      <c r="B9" s="3" t="inlineStr">
        <is>
          <t xml:space="preserve">Full annotation/narration, richer branching, prerequisite graph and advanced object/layout support.</t>
        </is>
      </c>
      <c r="C9" s="3" t="inlineStr">
        <is>
          <t xml:space="preserve">Reviewed object contracts, domain validation, accessibility, return-state tests and representative classroom QA.</t>
        </is>
      </c>
      <c r="D9" s="3" t="inlineStr">
        <is>
          <t xml:space="preserve">Prioritize against BRD traceability gaps.</t>
        </is>
      </c>
    </row>
    <row r="10" ht="90" customHeight="1">
      <c r="A10" s="3" t="inlineStr">
        <is>
          <t xml:space="preserve">F09</t>
        </is>
      </c>
      <c r="B10" s="3" t="inlineStr">
        <is>
          <t xml:space="preserve">Upload quotas, resumable processing and operational scale/link-health automation (BR-35).</t>
        </is>
      </c>
      <c r="C10" s="3" t="inlineStr">
        <is>
          <t xml:space="preserve">MVP already has basic limits/recovery; add representative-load, interrupted transfer, background job retry and health-monitor tests.</t>
        </is>
      </c>
      <c r="D10" s="3" t="inlineStr">
        <is>
          <t xml:space="preserve">Before scaling beyond agreed pilot limits.</t>
        </is>
      </c>
    </row>
    <row r="11" ht="90" customHeight="1">
      <c r="A11" s="3" t="inlineStr">
        <is>
          <t xml:space="preserve">F10</t>
        </is>
      </c>
      <c r="B11" s="3" t="inlineStr">
        <is>
          <t xml:space="preserve">Advanced native simulations, 2D/3D activities, virtual labs, configured AI/provider search.</t>
        </is>
      </c>
      <c r="C11" s="3" t="inlineStr">
        <is>
          <t xml:space="preserve">Scientific invariants/units, capability profiles, academic review, keyboard/static alternatives and configured provider/rights boundaries.</t>
        </is>
      </c>
      <c r="D11" s="3" t="inlineStr">
        <is>
          <t xml:space="preserve">Explicit later acceptance gates.</t>
        </is>
      </c>
    </row>
    <row r="12" ht="90" customHeight="1">
      <c r="A12" s="3" t="inlineStr">
        <is>
          <t xml:space="preserve">F11</t>
        </is>
      </c>
      <c r="B12" s="3" t="inlineStr">
        <is>
          <t xml:space="preserve">Offline/export/import packages and broader rollout.</t>
        </is>
      </c>
      <c r="C12" s="3" t="inlineStr">
        <is>
          <t xml:space="preserve">Exact manifest/asset pinning, private-content exclusion, withdrawal limitations, tested sync/recovery and target-device acceptance.</t>
        </is>
      </c>
      <c r="D12" s="3" t="inlineStr">
        <is>
          <t xml:space="preserve">After online release/delivery is stable.</t>
        </is>
      </c>
    </row>
    <row r="13" ht="90" customHeight="1">
      <c r="A13" s="3" t="inlineStr">
        <is>
          <t xml:space="preserve">F12</t>
        </is>
      </c>
      <c r="B13" s="3" t="inlineStr">
        <is>
          <t xml:space="preserve">Full Rational Numbers migration (114 slides / 523 branches where actual source inventory confirms).</t>
        </is>
      </c>
      <c r="C13" s="3" t="inlineStr">
        <is>
          <t xml:space="preserve">Access to reviewed source and rights; repeatable adapter; math/content/object/order/branch/role comparisons and academic approval.</t>
        </is>
      </c>
      <c r="D13" s="3" t="inlineStr">
        <is>
          <t xml:space="preserve">After representative slice gate; estimate from inventory.</t>
        </is>
      </c>
    </row>
  </sheetData>
  <autoFilter ref="A1:D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7" customWidth="1"/>
    <col min="2" max="2" width="72" customWidth="1"/>
  </cols>
  <sheetData>
    <row r="1" ht="30" customHeight="1">
      <c r="A1" s="10" t="inlineStr">
        <is>
          <t xml:space="preserve">Area</t>
        </is>
      </c>
      <c r="B1" s="10" t="inlineStr">
        <is>
          <t xml:space="preserve">Correction</t>
        </is>
      </c>
    </row>
    <row r="2" ht="90" customHeight="1">
      <c r="A2" s="3" t="inlineStr">
        <is>
          <t xml:space="preserve">Architecture</t>
        </is>
      </c>
      <c r="B2" s="3" t="inlineStr">
        <is>
          <t xml:space="preserve">Removed pilot stack assumptions from the execution baseline; reuse existing LMS.</t>
        </is>
      </c>
    </row>
    <row r="3" ht="90" customHeight="1">
      <c r="A3" s="3" t="inlineStr">
        <is>
          <t xml:space="preserve">Scope</t>
        </is>
      </c>
      <c r="B3" s="3" t="inlineStr">
        <is>
          <t xml:space="preserve">Explicit MVP boundary and separate follow-up backlog.</t>
        </is>
      </c>
    </row>
    <row r="4" ht="90" customHeight="1">
      <c r="A4" s="3" t="inlineStr">
        <is>
          <t xml:space="preserve">Status</t>
        </is>
      </c>
      <c r="B4" s="3" t="inlineStr">
        <is>
          <t xml:space="preserve">Unverified completion claims no longer count toward verified progress.</t>
        </is>
      </c>
    </row>
    <row r="5" ht="90" customHeight="1">
      <c r="A5" s="3" t="inlineStr">
        <is>
          <t xml:space="preserve">SQL</t>
        </is>
      </c>
      <c r="B5" s="3" t="inlineStr">
        <is>
          <t xml:space="preserve">Review/reuse existing Studio scripts and confirm actual migration state.</t>
        </is>
      </c>
    </row>
    <row r="6" ht="90" customHeight="1">
      <c r="A6" s="3" t="inlineStr">
        <is>
          <t xml:space="preserve">Security</t>
        </is>
      </c>
      <c r="B6" s="3" t="inlineStr">
        <is>
          <t xml:space="preserve">Day 19 hardening supplements permissions required from the first implementation.</t>
        </is>
      </c>
    </row>
    <row r="7" ht="90" customHeight="1">
      <c r="A7" s="3" t="inlineStr">
        <is>
          <t xml:space="preserve">Release</t>
        </is>
      </c>
      <c r="B7" s="3" t="inlineStr">
        <is>
          <t xml:space="preserve">Validation, exact academic approval, immutable manifests and pinned-run checks strengthened.</t>
        </is>
      </c>
    </row>
    <row r="8" ht="90" customHeight="1">
      <c r="A8" s="3" t="inlineStr">
        <is>
          <t xml:space="preserve">Migration</t>
        </is>
      </c>
      <c r="B8" s="3" t="inlineStr">
        <is>
          <t xml:space="preserve">Representative source slice only; full 523-branch migration is separately gated.</t>
        </is>
      </c>
    </row>
    <row r="9" ht="90" customHeight="1">
      <c r="A9" s="3" t="inlineStr">
        <is>
          <t xml:space="preserve">Schedule</t>
        </is>
      </c>
      <c r="B9" s="3" t="inlineStr">
        <is>
          <t xml:space="preserve">Provisional working-day sequence with capacity reforecast and same-day dependency rules.</t>
        </is>
      </c>
    </row>
    <row r="10" ht="90" customHeight="1">
      <c r="A10" s="3" t="inlineStr">
        <is>
          <t xml:space="preserve">Operations</t>
        </is>
      </c>
      <c r="B10" s="3" t="inlineStr">
        <is>
          <t xml:space="preserve">Staging restore includes referenced assets; Day 28 is conditional go/no-go.</t>
        </is>
      </c>
    </row>
    <row r="11" ht="90" customHeight="1">
      <c r="A11" s="3" t="inlineStr">
        <is>
          <t xml:space="preserve">Inputs</t>
        </is>
      </c>
      <c r="B11" s="3" t="inlineStr">
        <is>
          <t xml:space="preserve">Original workbooks retained unchanged; revised copy prepared on 15 October 2026.</t>
        </is>
      </c>
    </row>
  </sheetData>
  <autoFilter ref="A1:B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CADE91CB5BE542854F23A6BE11FA31" ma:contentTypeVersion="12" ma:contentTypeDescription="Create a new document." ma:contentTypeScope="" ma:versionID="389aefe46892e9ecf1adc95fde29df12">
  <xsd:schema xmlns:xsd="http://www.w3.org/2001/XMLSchema" xmlns:xs="http://www.w3.org/2001/XMLSchema" xmlns:p="http://schemas.microsoft.com/office/2006/metadata/properties" xmlns:ns2="a650e452-304b-4265-b6d7-93df591f8c36" xmlns:ns3="fef25b58-5536-4396-97e8-514d5b3c430b" targetNamespace="http://schemas.microsoft.com/office/2006/metadata/properties" ma:root="true" ma:fieldsID="90f30f6a5fecaece335b87e571a33563" ns2:_="" ns3:_="">
    <xsd:import namespace="a650e452-304b-4265-b6d7-93df591f8c36"/>
    <xsd:import namespace="fef25b58-5536-4396-97e8-514d5b3c43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0e452-304b-4265-b6d7-93df591f8c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3a4b04d-0bd2-41c8-888f-49f61c9313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f25b58-5536-4396-97e8-514d5b3c43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c494fe-751e-44b0-af26-61813b7eb705}" ma:internalName="TaxCatchAll" ma:showField="CatchAllData" ma:web="fef25b58-5536-4396-97e8-514d5b3c43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f25b58-5536-4396-97e8-514d5b3c430b" xsi:nil="true"/>
    <lcf76f155ced4ddcb4097134ff3c332f xmlns="a650e452-304b-4265-b6d7-93df591f8c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89FAD-8C2B-4CCC-81D0-C83A9BB4E16D}"/>
</file>

<file path=customXml/itemProps2.xml><?xml version="1.0" encoding="utf-8"?>
<ds:datastoreItem xmlns:ds="http://schemas.openxmlformats.org/officeDocument/2006/customXml" ds:itemID="{AA5047BF-A271-4B4D-943F-8A4F384D9FB3}"/>
</file>

<file path=customXml/itemProps3.xml><?xml version="1.0" encoding="utf-8"?>
<ds:datastoreItem xmlns:ds="http://schemas.openxmlformats.org/officeDocument/2006/customXml" ds:itemID="{62207941-88D5-46CC-A96F-274030ADD2A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0x010100A3CADE91CB5BE542854F23A6BE11FA31</vt:lpwstr>
  </property>
</Properties>
</file>